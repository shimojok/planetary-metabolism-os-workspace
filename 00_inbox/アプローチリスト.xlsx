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codeName="ThisWorkbook"/>
  <mc:AlternateContent xmlns:mc="http://schemas.openxmlformats.org/markup-compatibility/2006">
    <mc:Choice Requires="x15">
      <x15ac:absPath xmlns:x15ac="http://schemas.microsoft.com/office/spreadsheetml/2010/11/ac" url="C:\Users\user\Box\Obsidian vault\作成中ホルダー\"/>
    </mc:Choice>
  </mc:AlternateContent>
  <xr:revisionPtr revIDLastSave="0" documentId="13_ncr:1000001_{675B950A-BB3E-8B45-931E-ECFC355966A8}" xr6:coauthVersionLast="47" xr6:coauthVersionMax="47" xr10:uidLastSave="{00000000-0000-0000-0000-000000000000}"/>
  <bookViews>
    <workbookView xWindow="-120" yWindow="-120" windowWidth="20730" windowHeight="11160" xr2:uid="{00000000-000D-0000-FFFF-FFFF00000000}"/>
  </bookViews>
  <sheets>
    <sheet name="Client Information" sheetId="1" r:id="rId1"/>
    <sheet name="Approach Log " sheetId="2" r:id="rId2"/>
    <sheet name="Preparation" sheetId="3" r:id="rId3"/>
    <sheet name="Approach" sheetId="4" r:id="rId4"/>
    <sheet name="Sales Info." sheetId="5" r:id="rId5"/>
    <sheet name="Follow up" sheetId="6" r:id="rId6"/>
  </sheets>
  <definedNames>
    <definedName name="ColumnTitle1">営業の電話ログ[[#Headers],[No.]]</definedName>
    <definedName name="ColumnTitle2">クライアントの連絡先情報[[#Headers],[Client Name]]</definedName>
    <definedName name="ColumnTitle3">電話する前に[[#Headers],[チェック ボックス]]</definedName>
    <definedName name="ColumnTitle4">初回の電話[[#Headers],[チェック ボックス]]</definedName>
    <definedName name="ColumnTitle5">営業情報[[#Headers],[チェック ボックス]]</definedName>
    <definedName name="ColumnTitle6">フォローアップ情報[[#Headers],[チェック ボックス]]</definedName>
    <definedName name="_xlnm.Print_Titles" localSheetId="3">Approach!$3:$3</definedName>
    <definedName name="_xlnm.Print_Titles" localSheetId="0">'Approach Log '!$3:$3</definedName>
    <definedName name="_xlnm.Print_Titles" localSheetId="5">'Follow up'!$3:$3</definedName>
    <definedName name="_xlnm.Print_Titles" localSheetId="2">Preparation!$3:$3</definedName>
    <definedName name="_xlnm.Print_Titles" localSheetId="4">'Sales Info.'!$3:$3</definedName>
    <definedName name="_xlnm.Print_Titles">'Client Information'!$3:$3</definedName>
    <definedName name="会社名">'Approach Log '!$B$1</definedName>
    <definedName name="名前">クライアントの連絡先情報[Client Name]</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2" l="1"/>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 i="2"/>
  <c r="D6" i="2"/>
  <c r="D7" i="2"/>
  <c r="D8" i="2"/>
  <c r="D9" i="2"/>
  <c r="D10" i="2"/>
  <c r="D11" i="2"/>
  <c r="D12" i="2"/>
  <c r="D55" i="2"/>
  <c r="D4" i="2"/>
  <c r="B1" i="6"/>
  <c r="B1" i="5"/>
  <c r="B1" i="4"/>
  <c r="E8" i="2"/>
  <c r="E10" i="2"/>
  <c r="E9" i="2"/>
  <c r="E5" i="2"/>
  <c r="E6" i="2"/>
  <c r="E7" i="2"/>
  <c r="E4" i="2"/>
  <c r="B1" i="3"/>
  <c r="B1" i="1"/>
</calcChain>
</file>

<file path=xl/sharedStrings.xml><?xml version="1.0" encoding="utf-8"?>
<sst xmlns="http://schemas.openxmlformats.org/spreadsheetml/2006/main" count="497" uniqueCount="372">
  <si>
    <t>クライアントの連絡先情報</t>
  </si>
  <si>
    <t>チェック ボックス</t>
  </si>
  <si>
    <t>クライアントの沿革を確認</t>
  </si>
  <si>
    <t>クライアントの雇用主の履歴を確認</t>
  </si>
  <si>
    <t>優先度と営業戦略の確認</t>
  </si>
  <si>
    <t>項目を追加</t>
  </si>
  <si>
    <t>営業情報</t>
  </si>
  <si>
    <t>明確で説得力のある製品/サービスの紹介</t>
  </si>
  <si>
    <t>基本をすべて説明</t>
  </si>
  <si>
    <t>Web プレゼンスに言及 (例: Web サイト、ソーシャル ネットワーク)</t>
  </si>
  <si>
    <t>クライアントの個人情報</t>
  </si>
  <si>
    <t>クライアントの基本設定</t>
  </si>
  <si>
    <t>連絡の再スケジュール</t>
  </si>
  <si>
    <t>売上あり?</t>
  </si>
  <si>
    <t>フォローアップ情報</t>
    <phoneticPr fontId="8"/>
  </si>
  <si>
    <t>訪問の前に</t>
    <phoneticPr fontId="8"/>
  </si>
  <si>
    <t>No.</t>
    <phoneticPr fontId="8"/>
  </si>
  <si>
    <t>Name</t>
    <phoneticPr fontId="8"/>
  </si>
  <si>
    <t>Company</t>
    <phoneticPr fontId="8"/>
  </si>
  <si>
    <t>Date</t>
    <phoneticPr fontId="8"/>
  </si>
  <si>
    <t>Mail</t>
    <phoneticPr fontId="8"/>
  </si>
  <si>
    <t>メモ３</t>
    <phoneticPr fontId="8"/>
  </si>
  <si>
    <t>初回のアプローチ</t>
    <phoneticPr fontId="8"/>
  </si>
  <si>
    <t>適切な人物の選別</t>
    <rPh sb="6" eb="8">
      <t>センベツ</t>
    </rPh>
    <phoneticPr fontId="8"/>
  </si>
  <si>
    <t>現在の業務</t>
    <rPh sb="0" eb="2">
      <t>ゲンザイ</t>
    </rPh>
    <rPh sb="3" eb="5">
      <t>ギョウム</t>
    </rPh>
    <phoneticPr fontId="8"/>
  </si>
  <si>
    <t>過去の業務</t>
    <rPh sb="0" eb="2">
      <t>カコ</t>
    </rPh>
    <rPh sb="3" eb="5">
      <t>ギョウム</t>
    </rPh>
    <phoneticPr fontId="8"/>
  </si>
  <si>
    <t>URL</t>
    <phoneticPr fontId="8"/>
  </si>
  <si>
    <t>https://blogs.cisco.com/</t>
    <phoneticPr fontId="8"/>
  </si>
  <si>
    <t>CISCO Foundation</t>
    <phoneticPr fontId="8"/>
  </si>
  <si>
    <t>US</t>
    <phoneticPr fontId="8"/>
  </si>
  <si>
    <t>Peter Tavernise</t>
    <phoneticPr fontId="8"/>
  </si>
  <si>
    <t>https://www.goldmansachs.com/our-commitments/sustainability/sustainable-finance/index.html</t>
    <phoneticPr fontId="8"/>
  </si>
  <si>
    <t>GoldmanSachs</t>
    <phoneticPr fontId="8"/>
  </si>
  <si>
    <t>https://cdm.unfccc.int/index.html</t>
    <phoneticPr fontId="8"/>
  </si>
  <si>
    <t>UN CDM</t>
    <phoneticPr fontId="8"/>
  </si>
  <si>
    <t>https://www.wacaprogram.org/</t>
    <phoneticPr fontId="8"/>
  </si>
  <si>
    <t>WACA(West Africa Coastal Areas)</t>
    <phoneticPr fontId="8"/>
  </si>
  <si>
    <t>Africa</t>
    <phoneticPr fontId="8"/>
  </si>
  <si>
    <t>Africa/WBG</t>
    <phoneticPr fontId="8"/>
  </si>
  <si>
    <t>https://www.n2africa.org/</t>
    <phoneticPr fontId="8"/>
  </si>
  <si>
    <t>N2Africa</t>
    <phoneticPr fontId="8"/>
  </si>
  <si>
    <t>https://gca.org/reports/sta22/</t>
    <phoneticPr fontId="8"/>
  </si>
  <si>
    <t>https://endeavor.org/</t>
    <phoneticPr fontId="8"/>
  </si>
  <si>
    <t>Endeavor</t>
    <phoneticPr fontId="8"/>
  </si>
  <si>
    <t>Richa</t>
    <phoneticPr fontId="8"/>
  </si>
  <si>
    <t>https://verra.org/verra-inactivates-unfccc-cdm-rice-cultivation-methodology/</t>
    <phoneticPr fontId="8"/>
  </si>
  <si>
    <t>VERRA</t>
    <phoneticPr fontId="8"/>
  </si>
  <si>
    <t>https://cquestcapital.com/impact/</t>
    <phoneticPr fontId="8"/>
  </si>
  <si>
    <t>Cquest Capital</t>
    <phoneticPr fontId="8"/>
  </si>
  <si>
    <t>https://www.cargill.com/history-story/ja/JA_ZAMBIAN-FARMERS.jsp</t>
    <phoneticPr fontId="8"/>
  </si>
  <si>
    <t>Cargill</t>
    <phoneticPr fontId="8"/>
  </si>
  <si>
    <t>https://www.bsr.org/en/</t>
    <phoneticPr fontId="8"/>
  </si>
  <si>
    <t>BSR</t>
    <phoneticPr fontId="8"/>
  </si>
  <si>
    <t>https://www.gafspfund.org/about</t>
    <phoneticPr fontId="8"/>
  </si>
  <si>
    <t>GAFSP</t>
    <phoneticPr fontId="8"/>
  </si>
  <si>
    <t>https://www.farmerp.com/farmerp-fortifies-plantation-management-for-indias-second-largest-phosphatic-fertilizer-player</t>
    <phoneticPr fontId="8"/>
  </si>
  <si>
    <t>FarmERP</t>
    <phoneticPr fontId="8"/>
  </si>
  <si>
    <t>IT</t>
    <phoneticPr fontId="8"/>
  </si>
  <si>
    <t>https://www.landolakesinc.com/</t>
    <phoneticPr fontId="8"/>
  </si>
  <si>
    <t>LAND LAKES</t>
    <phoneticPr fontId="8"/>
  </si>
  <si>
    <t>Agritech</t>
    <phoneticPr fontId="8"/>
  </si>
  <si>
    <t>https://www.unpri.org/thematic-and-impact-investing/impact-investing-market-map-sustainable-agriculture/3542.article</t>
    <phoneticPr fontId="8"/>
  </si>
  <si>
    <t>PRI</t>
    <phoneticPr fontId="8"/>
  </si>
  <si>
    <t>Impact</t>
    <phoneticPr fontId="8"/>
  </si>
  <si>
    <t>https://www.insuresilience.org/</t>
    <phoneticPr fontId="8"/>
  </si>
  <si>
    <t>IGP</t>
    <phoneticPr fontId="8"/>
  </si>
  <si>
    <t>https://www.agriinvestor.com/</t>
    <phoneticPr fontId="8"/>
  </si>
  <si>
    <t>Agri Investor</t>
    <phoneticPr fontId="8"/>
  </si>
  <si>
    <t>https://www.bcg.com/ja-jp/featured-insights/sustainability-pillars/transforming-food-systems</t>
    <phoneticPr fontId="8"/>
  </si>
  <si>
    <t>BCG</t>
    <phoneticPr fontId="8"/>
  </si>
  <si>
    <t>Consulting</t>
    <phoneticPr fontId="8"/>
  </si>
  <si>
    <t>https://africasustainability.org/</t>
    <phoneticPr fontId="8"/>
  </si>
  <si>
    <t>WWD</t>
    <phoneticPr fontId="8"/>
  </si>
  <si>
    <t>https://breakthroughenergy.org/</t>
    <phoneticPr fontId="8"/>
  </si>
  <si>
    <t>Breakthrough Energy</t>
    <phoneticPr fontId="8"/>
  </si>
  <si>
    <t>https://www.sri-2030.org/</t>
    <phoneticPr fontId="8"/>
  </si>
  <si>
    <t>SRI2030</t>
    <phoneticPr fontId="8"/>
  </si>
  <si>
    <t>https://www.weforum.org/agenda/2016/01/food-security-and-why-it-matters</t>
    <phoneticPr fontId="8"/>
  </si>
  <si>
    <t>WEF</t>
    <phoneticPr fontId="8"/>
  </si>
  <si>
    <t>https://www.mulagofoundation.org/how-we-fund</t>
    <phoneticPr fontId="8"/>
  </si>
  <si>
    <t>MULAGO</t>
    <phoneticPr fontId="8"/>
  </si>
  <si>
    <t>https://www.clintonfoundation.org/</t>
    <phoneticPr fontId="8"/>
  </si>
  <si>
    <t>Clinton Foundation</t>
    <phoneticPr fontId="8"/>
  </si>
  <si>
    <t>https://www.gfdrr.org/en/crp</t>
    <phoneticPr fontId="8"/>
  </si>
  <si>
    <t>GFDRR/WBG</t>
    <phoneticPr fontId="8"/>
  </si>
  <si>
    <t>https://opencitiesproject.org/about/</t>
    <phoneticPr fontId="8"/>
  </si>
  <si>
    <t>Open City Africa</t>
    <phoneticPr fontId="8"/>
  </si>
  <si>
    <t>https://collabfund.com/</t>
    <phoneticPr fontId="8"/>
  </si>
  <si>
    <t>Collb Fund</t>
    <phoneticPr fontId="8"/>
  </si>
  <si>
    <t>https://trueventures.com/</t>
    <phoneticPr fontId="8"/>
  </si>
  <si>
    <t>true Ventures</t>
    <phoneticPr fontId="8"/>
  </si>
  <si>
    <t>https://www.climatefarmers.org/</t>
    <phoneticPr fontId="8"/>
  </si>
  <si>
    <t>Climate Farmers</t>
    <phoneticPr fontId="8"/>
  </si>
  <si>
    <t>https://agra.org/</t>
    <phoneticPr fontId="8"/>
  </si>
  <si>
    <t>AGRA</t>
    <phoneticPr fontId="8"/>
  </si>
  <si>
    <t>https://faraafrica.org/</t>
    <phoneticPr fontId="8"/>
  </si>
  <si>
    <t>FARA</t>
    <phoneticPr fontId="8"/>
  </si>
  <si>
    <t>https://www.cgiar.org/</t>
    <phoneticPr fontId="8"/>
  </si>
  <si>
    <t>CGIAR</t>
    <phoneticPr fontId="8"/>
  </si>
  <si>
    <t>https://www.iita.org/</t>
    <phoneticPr fontId="8"/>
  </si>
  <si>
    <t>IITA</t>
    <phoneticPr fontId="8"/>
  </si>
  <si>
    <t>https://www.ilri.org/</t>
    <phoneticPr fontId="8"/>
  </si>
  <si>
    <t>ILRI</t>
    <phoneticPr fontId="8"/>
  </si>
  <si>
    <t>https://www.globalsustainablefuture.com/</t>
    <phoneticPr fontId="8"/>
  </si>
  <si>
    <t>GSF</t>
    <phoneticPr fontId="8"/>
  </si>
  <si>
    <t>https://www.andgreen.fund/</t>
    <phoneticPr fontId="8"/>
  </si>
  <si>
    <t>&amp;Green Fund</t>
    <phoneticPr fontId="8"/>
  </si>
  <si>
    <t>https://www.fao.org/global-soil-partnership/resources/highlights/detail/en/c/1371484/</t>
    <phoneticPr fontId="8"/>
  </si>
  <si>
    <t>FAO Global Soil Partnership</t>
    <phoneticPr fontId="8"/>
  </si>
  <si>
    <t>https://www.eld-initiative.org/en/</t>
    <phoneticPr fontId="8"/>
  </si>
  <si>
    <t>ELD</t>
    <phoneticPr fontId="8"/>
  </si>
  <si>
    <t>https://www.greentech.earth/what-is-greentech</t>
    <phoneticPr fontId="8"/>
  </si>
  <si>
    <t>Green Tech</t>
    <phoneticPr fontId="8"/>
  </si>
  <si>
    <t>https://www.unep.org/news-and-stories/press-release/doubling-finance-flows-nature-based-solutions-2025-deal-global</t>
    <phoneticPr fontId="8"/>
  </si>
  <si>
    <t>UN environment programme</t>
    <phoneticPr fontId="8"/>
  </si>
  <si>
    <t>https://express.adobe.com/page/dsMq4QxD8PRDH/</t>
    <phoneticPr fontId="8"/>
  </si>
  <si>
    <t>State of finance for Nature</t>
    <phoneticPr fontId="8"/>
  </si>
  <si>
    <t>https://nbs.net/</t>
    <phoneticPr fontId="8"/>
  </si>
  <si>
    <t>NBS(Network for Business Sustainability</t>
    <phoneticPr fontId="8"/>
  </si>
  <si>
    <t>https://asm.org/Articles/2021/May/Unearthing-the-Soil-Microbiome,-Climate-Change,-Ca</t>
    <phoneticPr fontId="8"/>
  </si>
  <si>
    <t>AMERICAN SOCIETY FOR MICROBIOLOGY</t>
    <phoneticPr fontId="8"/>
  </si>
  <si>
    <t>https://afsafrica.org/about-us/</t>
    <phoneticPr fontId="8"/>
  </si>
  <si>
    <t>AFSA</t>
    <phoneticPr fontId="8"/>
  </si>
  <si>
    <t>https://viacampesina.org/en/la-via-campesina-and-the-need-for-translocal-peasant-solidarity/</t>
    <phoneticPr fontId="8"/>
  </si>
  <si>
    <t>La Via Campesina</t>
    <phoneticPr fontId="8"/>
  </si>
  <si>
    <t>https://futureoffood.org/</t>
    <phoneticPr fontId="8"/>
  </si>
  <si>
    <t>Global Alliance for the Future of Food</t>
    <phoneticPr fontId="8"/>
  </si>
  <si>
    <t>https://www.unccd.int/land-and-life/land-degradation-neutrality/projects-programmes/target-setting-building-blocks</t>
    <phoneticPr fontId="8"/>
  </si>
  <si>
    <t>UNCCD</t>
    <phoneticPr fontId="8"/>
  </si>
  <si>
    <t>https://rodaleinstitute.org/about/board/</t>
    <phoneticPr fontId="8"/>
  </si>
  <si>
    <t>RODALE Institute</t>
    <phoneticPr fontId="8"/>
  </si>
  <si>
    <t>https://www.nrcs.usda.gov/conservation-basics/natural-resource-concerns/soils/soil-health</t>
    <phoneticPr fontId="8"/>
  </si>
  <si>
    <t>USDA Natural Resources Conservation Service</t>
    <phoneticPr fontId="8"/>
  </si>
  <si>
    <t>https://blogs.nicholas.duke.edu/citizenscientist/</t>
    <phoneticPr fontId="8"/>
  </si>
  <si>
    <t>Nicholas School of the Environment</t>
    <phoneticPr fontId="8"/>
  </si>
  <si>
    <t>https://www.earthworm.org/about-us</t>
    <phoneticPr fontId="8"/>
  </si>
  <si>
    <t>Earthworm</t>
    <phoneticPr fontId="8"/>
  </si>
  <si>
    <t>https://natcapsolutions.org/team/</t>
    <phoneticPr fontId="8"/>
  </si>
  <si>
    <t>Natural Capitalism Solutions</t>
    <phoneticPr fontId="8"/>
  </si>
  <si>
    <t>L. Hunter Lovins</t>
    <phoneticPr fontId="8"/>
  </si>
  <si>
    <t>https://innovativegenomics-org.translate.goog/news/photosynthesis-climate-change-2023/?_x_tr_sl=en&amp;_x_tr_tl=ja&amp;_x_tr_hl=ja&amp;_x_tr_pto=wapp</t>
    <phoneticPr fontId="8"/>
  </si>
  <si>
    <t>Innovative Genomics Institute</t>
    <phoneticPr fontId="8"/>
  </si>
  <si>
    <t>https://feldactiontracker.org/green-finance</t>
    <phoneticPr fontId="8"/>
  </si>
  <si>
    <t>FELD(Food, Environment, Land and Development)</t>
    <phoneticPr fontId="8"/>
  </si>
  <si>
    <t>https://climatefocus.com/</t>
    <phoneticPr fontId="8"/>
  </si>
  <si>
    <t>CLIMATE FOCUS</t>
    <phoneticPr fontId="8"/>
  </si>
  <si>
    <t>https://www.takachar.com/</t>
    <phoneticPr fontId="8"/>
  </si>
  <si>
    <t>TAKACHAR</t>
    <phoneticPr fontId="8"/>
  </si>
  <si>
    <t>https://biotasoil.org/</t>
    <phoneticPr fontId="8"/>
  </si>
  <si>
    <t>BIOTASOIL FOUNDATION</t>
    <phoneticPr fontId="8"/>
  </si>
  <si>
    <t>https://environment.ec.europa.eu/topics/soil-and-land_en</t>
    <phoneticPr fontId="8"/>
  </si>
  <si>
    <t>European Commission</t>
    <phoneticPr fontId="8"/>
  </si>
  <si>
    <t>https://www.ffpj.org/blog/20200624</t>
    <phoneticPr fontId="8"/>
  </si>
  <si>
    <t>FFPJ</t>
    <phoneticPr fontId="8"/>
  </si>
  <si>
    <t>GCA(Global Center on Adaptation)</t>
    <phoneticPr fontId="8"/>
  </si>
  <si>
    <t>https://www.conservation.org/japan/initiatives/natural-capital#:~:text=%E3%80%8C%E8%87%AA%E7%84%B6%E8%B3%87%E6%9C%AC%E3%80%8D%E3%81%A8%E3%81%AF%E3%80%81,%E3%81%A8%E3%81%97%E3%81%A6%E4%BD%8D%E7%BD%AE%E3%81%A5%E3%81%91%E3%81%9F%E3%82%82%E3%81%AE%E3%81%A7%E3%81%99%E3%80%82</t>
    <phoneticPr fontId="8"/>
  </si>
  <si>
    <t>CI(Conservation International)</t>
    <phoneticPr fontId="8"/>
  </si>
  <si>
    <t>https://globalgreen.org/advocates/</t>
    <phoneticPr fontId="8"/>
  </si>
  <si>
    <t>Global Green</t>
    <phoneticPr fontId="8"/>
  </si>
  <si>
    <t>https://www.xprize.org/prizes/carbonremoval/articles/carbon-negative-conference-3-0-recap-innovations-across-air-land-rocks-and-oceans</t>
    <phoneticPr fontId="8"/>
  </si>
  <si>
    <t>XPRIZE</t>
    <phoneticPr fontId="8"/>
  </si>
  <si>
    <t>https://www.urth.io/farmer</t>
    <phoneticPr fontId="8"/>
  </si>
  <si>
    <t>Urth for Farmer</t>
    <phoneticPr fontId="8"/>
  </si>
  <si>
    <t>Australia</t>
    <phoneticPr fontId="8"/>
  </si>
  <si>
    <t>https://www.mckinsey.com/industries/financial-services/our-insights/how-insurance-can-help-combat-climate-change</t>
    <phoneticPr fontId="8"/>
  </si>
  <si>
    <t>McKinsey &amp; Company</t>
    <phoneticPr fontId="8"/>
  </si>
  <si>
    <t>https://www.cdp.net/en/guidance/how-cdp-is-aligned-to-the-tcfd</t>
    <phoneticPr fontId="8"/>
  </si>
  <si>
    <t>CDP</t>
    <phoneticPr fontId="8"/>
  </si>
  <si>
    <t>https://nmsconsulting.com/1055/the-move-to-food-investing-in-sustainable-agriculture/</t>
    <phoneticPr fontId="8"/>
  </si>
  <si>
    <t>NMS Consulting</t>
    <phoneticPr fontId="8"/>
  </si>
  <si>
    <t>https://www.isdb.org/projects-under-maintenance</t>
    <phoneticPr fontId="8"/>
  </si>
  <si>
    <t>IsDB</t>
    <phoneticPr fontId="8"/>
  </si>
  <si>
    <t>https://www.triodos-im.com/sustainable-food-and-agriculture</t>
    <phoneticPr fontId="8"/>
  </si>
  <si>
    <t>Triodos Investment Management</t>
    <phoneticPr fontId="8"/>
  </si>
  <si>
    <t>https://ostromclimate.com/</t>
    <phoneticPr fontId="8"/>
  </si>
  <si>
    <t>OSTROM CLIMATE</t>
    <phoneticPr fontId="8"/>
  </si>
  <si>
    <t>https://www.goodventures.org/</t>
    <phoneticPr fontId="8"/>
  </si>
  <si>
    <t>Good Ventures</t>
    <phoneticPr fontId="8"/>
  </si>
  <si>
    <t>https://growthcapadvisory.com/about/</t>
    <phoneticPr fontId="8"/>
  </si>
  <si>
    <t>GC Growthcap</t>
    <phoneticPr fontId="8"/>
  </si>
  <si>
    <t>https://calvertimpact.org/investing/portfolio/community-investment-note-portfolio#sectors</t>
    <phoneticPr fontId="8"/>
  </si>
  <si>
    <t>Calvert Impact</t>
    <phoneticPr fontId="8"/>
  </si>
  <si>
    <t>https://www.sequoiacap.com/</t>
    <phoneticPr fontId="8"/>
  </si>
  <si>
    <t>SEQUOIA</t>
    <phoneticPr fontId="8"/>
  </si>
  <si>
    <t>https://www.agri-business-capital.com/lookingforfunding.html</t>
    <phoneticPr fontId="8"/>
  </si>
  <si>
    <t>ABC fund</t>
    <phoneticPr fontId="8"/>
  </si>
  <si>
    <t>https://www.ifad.org/en/abcfund</t>
    <phoneticPr fontId="8"/>
  </si>
  <si>
    <t>IFAD</t>
    <phoneticPr fontId="8"/>
  </si>
  <si>
    <t>https://www.dbl.vc/people/nancy-pfund/</t>
    <phoneticPr fontId="8"/>
  </si>
  <si>
    <t>Nancy Pfund</t>
    <phoneticPr fontId="8"/>
  </si>
  <si>
    <t>https://articles.sequoiacap.com/writing-a-business-plan</t>
    <phoneticPr fontId="8"/>
  </si>
  <si>
    <t>SEQUOIA BP</t>
    <phoneticPr fontId="8"/>
  </si>
  <si>
    <t>https://thegiin.org/</t>
    <phoneticPr fontId="8"/>
  </si>
  <si>
    <t>GIIN</t>
    <phoneticPr fontId="8"/>
  </si>
  <si>
    <t>https://www.cdiglobal.com/en</t>
    <phoneticPr fontId="8"/>
  </si>
  <si>
    <t>CDI GLOBAL</t>
    <phoneticPr fontId="8"/>
  </si>
  <si>
    <t>https://www.robeco.com/jp-jp/</t>
    <phoneticPr fontId="8"/>
  </si>
  <si>
    <t>ROBECO</t>
    <phoneticPr fontId="8"/>
  </si>
  <si>
    <t>https://fnbdubai.com/</t>
    <phoneticPr fontId="8"/>
  </si>
  <si>
    <t>UAE FOOD &amp; BEVERAGE</t>
    <phoneticPr fontId="8"/>
  </si>
  <si>
    <t>https://appinventiv.com/blog/blockchain-in-agriculture-and-food-sector/amp/</t>
    <phoneticPr fontId="8"/>
  </si>
  <si>
    <t>appinventiv</t>
    <phoneticPr fontId="8"/>
  </si>
  <si>
    <t>Blockchain</t>
    <phoneticPr fontId="8"/>
  </si>
  <si>
    <t>https://rothschildfoundation.org.uk/</t>
    <phoneticPr fontId="8"/>
  </si>
  <si>
    <t>Rothschild Foundation</t>
    <phoneticPr fontId="8"/>
  </si>
  <si>
    <t>https://www.kws.com/corp/en/company/management/executive-board/</t>
    <phoneticPr fontId="8"/>
  </si>
  <si>
    <t>KWS</t>
    <phoneticPr fontId="8"/>
  </si>
  <si>
    <t>https://mycity.com/video/Erwin-Jack-at-ATS-Video-1356</t>
    <phoneticPr fontId="8"/>
  </si>
  <si>
    <t>ATS Erwin Jack</t>
    <phoneticPr fontId="8"/>
  </si>
  <si>
    <t>https://www.wbcsd.org/Programs/Food-and-Nature/Food-Land-Use/Resources/CEO-Guide-to-Food-System-Transformation</t>
    <phoneticPr fontId="8"/>
  </si>
  <si>
    <t>wbcsd</t>
    <phoneticPr fontId="8"/>
  </si>
  <si>
    <t>https://drawdown.org/</t>
    <phoneticPr fontId="8"/>
  </si>
  <si>
    <t>Drawdown</t>
    <phoneticPr fontId="8"/>
  </si>
  <si>
    <t>https://www.4p1000.org/</t>
    <phoneticPr fontId="8"/>
  </si>
  <si>
    <t>4per1000</t>
    <phoneticPr fontId="8"/>
  </si>
  <si>
    <t>https://www.syngenta.com/en/sustainability/climate-change/climate-smart-soils</t>
    <phoneticPr fontId="8"/>
  </si>
  <si>
    <t>syngenta</t>
    <phoneticPr fontId="8"/>
  </si>
  <si>
    <t>https://www.unccd.int/land-and-life/climate-change/overview</t>
    <phoneticPr fontId="8"/>
  </si>
  <si>
    <t>UN Convention to Combat Desertification</t>
    <phoneticPr fontId="8"/>
  </si>
  <si>
    <t>https://techcrunch.com/2021/03/11/ag-industry-is-the-next-great-ally-in-fight-against-climate-change/</t>
    <phoneticPr fontId="8"/>
  </si>
  <si>
    <t>TechCrunch</t>
    <phoneticPr fontId="8"/>
  </si>
  <si>
    <t>事業支援</t>
    <rPh sb="0" eb="4">
      <t>ジギョウシエン</t>
    </rPh>
    <phoneticPr fontId="8"/>
  </si>
  <si>
    <t>https://www.terramera.com/blog/climate-change-at-world-economic-forum</t>
    <phoneticPr fontId="8"/>
  </si>
  <si>
    <t>Terramera</t>
    <phoneticPr fontId="8"/>
  </si>
  <si>
    <t>https://northberkeleywealth.com/articles/soil-health-societal-health</t>
    <phoneticPr fontId="8"/>
  </si>
  <si>
    <t>North Berkeley</t>
    <phoneticPr fontId="8"/>
  </si>
  <si>
    <t>https://sarep.ucdavis.edu/sustainable-ag</t>
    <phoneticPr fontId="8"/>
  </si>
  <si>
    <t>UC SAREP</t>
    <phoneticPr fontId="8"/>
  </si>
  <si>
    <t>https://regenerationinternational.org/2015/10/05/soil-carbon-restoration-can-biology-do-the-job/</t>
    <phoneticPr fontId="8"/>
  </si>
  <si>
    <t>Regeneration International</t>
    <phoneticPr fontId="8"/>
  </si>
  <si>
    <t>https://www.patagonia.jp/regenerative-organic/</t>
    <phoneticPr fontId="8"/>
  </si>
  <si>
    <t>Patagonia</t>
    <phoneticPr fontId="8"/>
  </si>
  <si>
    <t>https://www.generalmills.com/how-we-make-it/healthier-planet/environmental-impact/regenerative-agriculture</t>
    <phoneticPr fontId="8"/>
  </si>
  <si>
    <t>General Mills</t>
    <phoneticPr fontId="8"/>
  </si>
  <si>
    <t>https://www.ipbes.net/</t>
    <phoneticPr fontId="8"/>
  </si>
  <si>
    <t>ipbes</t>
    <phoneticPr fontId="8"/>
  </si>
  <si>
    <t>https://sustainability.google/</t>
    <phoneticPr fontId="8"/>
  </si>
  <si>
    <t>Google</t>
    <phoneticPr fontId="8"/>
  </si>
  <si>
    <t>https://sustainability.fb.com/</t>
    <phoneticPr fontId="8"/>
  </si>
  <si>
    <t>Facebook</t>
    <phoneticPr fontId="8"/>
  </si>
  <si>
    <t>https://www.c2es.org/</t>
    <phoneticPr fontId="8"/>
  </si>
  <si>
    <t>C2ES</t>
    <phoneticPr fontId="8"/>
  </si>
  <si>
    <t>https://royalsociety.org/topics-policy/projects/climate-change-science-solutions/</t>
    <phoneticPr fontId="8"/>
  </si>
  <si>
    <t>The Royal Society</t>
    <phoneticPr fontId="8"/>
  </si>
  <si>
    <t>https://www.greenpeace.org.uk/challenges/climate-change/solutions-climate-change/</t>
    <phoneticPr fontId="8"/>
  </si>
  <si>
    <t>GREENPEACE</t>
    <phoneticPr fontId="8"/>
  </si>
  <si>
    <t>https://www.nrdc.org/bio/zak-smith/five-natural-climate-solutions-mitigate-climate-change</t>
    <phoneticPr fontId="8"/>
  </si>
  <si>
    <t>NRDC</t>
    <phoneticPr fontId="8"/>
  </si>
  <si>
    <t>https://sustainablebrands.com/read/waste-not/how-your-company-can-enact-the-1-solution-for-combating-climate-change?utm_source=pocket_mylist</t>
    <phoneticPr fontId="8"/>
  </si>
  <si>
    <t>SB</t>
    <phoneticPr fontId="8"/>
  </si>
  <si>
    <t>https://www.aimforclimate.org/</t>
    <phoneticPr fontId="8"/>
  </si>
  <si>
    <t>AIM for CLIMATE</t>
    <phoneticPr fontId="8"/>
  </si>
  <si>
    <t>https://nbsguidelines.info/</t>
    <phoneticPr fontId="8"/>
  </si>
  <si>
    <t>nbsguidelines</t>
    <phoneticPr fontId="8"/>
  </si>
  <si>
    <t>https://www.ox.ac.uk/news/2021-05-13-nature-based-solutions-highly-effective-long-term-oxford-research</t>
    <phoneticPr fontId="8"/>
  </si>
  <si>
    <t>OXFORD</t>
    <phoneticPr fontId="8"/>
  </si>
  <si>
    <t>https://sustainability.aboutamazon.com/environment/nature-based-solutions</t>
    <phoneticPr fontId="8"/>
  </si>
  <si>
    <t>Amazon</t>
    <phoneticPr fontId="8"/>
  </si>
  <si>
    <t>https://www.naturebasedsolutionsinitiative.org/</t>
    <phoneticPr fontId="8"/>
  </si>
  <si>
    <t>Nature based Solutions Initiative</t>
    <phoneticPr fontId="8"/>
  </si>
  <si>
    <t>https://www.pnas.org/doi/10.1073/pnas.1710465114</t>
    <phoneticPr fontId="8"/>
  </si>
  <si>
    <t>PNAS</t>
    <phoneticPr fontId="8"/>
  </si>
  <si>
    <t>https://ellenmacarthurfoundation.org/</t>
    <phoneticPr fontId="8"/>
  </si>
  <si>
    <t>Ellen Macarthur Foundation</t>
    <phoneticPr fontId="8"/>
  </si>
  <si>
    <t>https://www.conservation.org/</t>
    <phoneticPr fontId="8"/>
  </si>
  <si>
    <t>Conservation International</t>
    <phoneticPr fontId="8"/>
  </si>
  <si>
    <t>https://www.wbcsd.org/</t>
    <phoneticPr fontId="8"/>
  </si>
  <si>
    <t>https://www.cefc.com.au/media/media-release/downforce-technologies-draws-investor-support-with-innovative-soil-carbon-solution/#</t>
    <phoneticPr fontId="8"/>
  </si>
  <si>
    <t>cefc Downforce Technologies</t>
    <phoneticPr fontId="8"/>
  </si>
  <si>
    <t>https://www.iisd.org/board</t>
    <phoneticPr fontId="8"/>
  </si>
  <si>
    <t>IISD</t>
    <phoneticPr fontId="8"/>
  </si>
  <si>
    <t>https://www.ewg.org/news-insights/news/2021/12/tackling-food-farming-emissions-key-avoiding-climate-catastrophe</t>
    <phoneticPr fontId="8"/>
  </si>
  <si>
    <t>ewg</t>
    <phoneticPr fontId="8"/>
  </si>
  <si>
    <t>https://x.company/projects/mineral/</t>
    <phoneticPr fontId="8"/>
  </si>
  <si>
    <t>X Company</t>
    <phoneticPr fontId="8"/>
  </si>
  <si>
    <t>https://scalingclimatesolutions.org/resources/carbon-credit-basics-for-business/</t>
    <phoneticPr fontId="8"/>
  </si>
  <si>
    <t>BASCS</t>
    <phoneticPr fontId="8"/>
  </si>
  <si>
    <t>https://www.alphabet.com/en-ww</t>
    <phoneticPr fontId="8"/>
  </si>
  <si>
    <t>Alphabet</t>
    <phoneticPr fontId="8"/>
  </si>
  <si>
    <t xml:space="preserve">rePlant Capital </t>
  </si>
  <si>
    <t>https://www.replantcapital.com/about</t>
  </si>
  <si>
    <t>Robyn (O’Brien</t>
  </si>
  <si>
    <t>Client Name</t>
    <phoneticPr fontId="8"/>
  </si>
  <si>
    <t>Industry</t>
    <phoneticPr fontId="8"/>
  </si>
  <si>
    <t>Record of Approach</t>
    <phoneticPr fontId="8"/>
  </si>
  <si>
    <t>Organization Name</t>
    <phoneticPr fontId="8"/>
  </si>
  <si>
    <t>Client information</t>
    <phoneticPr fontId="8"/>
  </si>
  <si>
    <t>Country Name</t>
    <phoneticPr fontId="8"/>
  </si>
  <si>
    <t>Name of person in charge</t>
    <phoneticPr fontId="8"/>
  </si>
  <si>
    <t>Mail Address</t>
    <phoneticPr fontId="8"/>
  </si>
  <si>
    <t>Contact Address/Tel</t>
    <phoneticPr fontId="8"/>
  </si>
  <si>
    <t>Content</t>
    <phoneticPr fontId="8"/>
  </si>
  <si>
    <t>Memo1</t>
    <phoneticPr fontId="8"/>
  </si>
  <si>
    <t>Memo2</t>
    <phoneticPr fontId="8"/>
  </si>
  <si>
    <t>Remarks</t>
    <phoneticPr fontId="8"/>
  </si>
  <si>
    <t>Checklist</t>
    <phoneticPr fontId="8"/>
  </si>
  <si>
    <t>Approach</t>
    <phoneticPr fontId="8"/>
  </si>
  <si>
    <t>Follow up checklist</t>
    <phoneticPr fontId="8"/>
  </si>
  <si>
    <t>Allianz</t>
    <phoneticPr fontId="8"/>
  </si>
  <si>
    <t>Insurance</t>
    <phoneticPr fontId="8"/>
  </si>
  <si>
    <t>https://www.marsh.com/jp/ja/about/media/global-risks-2024-environmental-threats-intensify.html</t>
    <phoneticPr fontId="8"/>
  </si>
  <si>
    <t>Aviva</t>
    <phoneticPr fontId="8"/>
  </si>
  <si>
    <t>独</t>
    <rPh sb="0" eb="1">
      <t>ドク</t>
    </rPh>
    <phoneticPr fontId="8"/>
  </si>
  <si>
    <t>スイス</t>
    <phoneticPr fontId="8"/>
  </si>
  <si>
    <t>仏</t>
    <rPh sb="0" eb="1">
      <t>フツ</t>
    </rPh>
    <phoneticPr fontId="8"/>
  </si>
  <si>
    <t>英</t>
    <rPh sb="0" eb="1">
      <t>エイ</t>
    </rPh>
    <phoneticPr fontId="8"/>
  </si>
  <si>
    <t>Zurich</t>
    <phoneticPr fontId="8"/>
  </si>
  <si>
    <t>AXA</t>
    <phoneticPr fontId="8"/>
  </si>
  <si>
    <t>気候変動による影響を受けやすい農業や森林に関する投資を増やしており、その一例として、ブラジルのアマゾン熱帯雨林での森林保全プロジェクトに資金提供しています。</t>
    <phoneticPr fontId="8"/>
  </si>
  <si>
    <t>Nordea</t>
    <phoneticPr fontId="8"/>
  </si>
  <si>
    <t>北欧</t>
    <rPh sb="0" eb="2">
      <t>ホクオウ</t>
    </rPh>
    <phoneticPr fontId="8"/>
  </si>
  <si>
    <t>気候変動に関する保険会社の投資に関して、自社の投資ポートフォリオにおける炭素強度を測定し、低炭素経済への移行を促進するための指標としています。また、気候変動に関するリスクと機会を評価するためのツールやガイドラインを開発し、投資先企業やステークホルダーとの対話を行っています。</t>
    <phoneticPr fontId="8"/>
  </si>
  <si>
    <t>チャブは、北米で初めて石炭事業からの投資撤退や石炭事業の保険停止を実施しています。また、再生可能エネルギー事業や環境保全事業に対する保険サービスを提供しています。</t>
    <phoneticPr fontId="8"/>
  </si>
  <si>
    <t>チャプ</t>
    <phoneticPr fontId="8"/>
  </si>
  <si>
    <t>メットライフは、気候変動に関する保険会社の投資に関して、自社の投資ポートフォリオにおける環境・社会・ガバナンス（ESG）要因の考慮を強化しています。その中には、再生可能エネルギー事業や環境保全事業への投資や融資が含まれます。</t>
    <phoneticPr fontId="8"/>
  </si>
  <si>
    <t>メットライフ</t>
    <phoneticPr fontId="8"/>
  </si>
  <si>
    <t>SulAmérica</t>
    <phoneticPr fontId="8"/>
  </si>
  <si>
    <t>ブラジル</t>
    <phoneticPr fontId="8"/>
  </si>
  <si>
    <t>気候変動に関する保険会社の投資に関して、自社の投資ポートフォリオにおける炭素関連資産の削減を目指しています。また、気候変動に関するリスクと機会を評価するためのツールやガイドラインを開発し、投資先企業やステークホルダーとの対話を行っています。</t>
  </si>
  <si>
    <t>Seguros Bolívar</t>
    <phoneticPr fontId="8"/>
  </si>
  <si>
    <t>コロンビア</t>
    <phoneticPr fontId="8"/>
  </si>
  <si>
    <t>気候変動に関する保険会社の投資に関して、自社の投資ポートフォリオにおけるESG要因の考慮を強化しています。その中には、再生可能エネルギー事業や環境保全事業への投資や融資が含まれます。</t>
    <phoneticPr fontId="8"/>
  </si>
  <si>
    <t>中国人寿</t>
    <phoneticPr fontId="8"/>
  </si>
  <si>
    <t>中国</t>
    <rPh sb="0" eb="2">
      <t>チュウゴク</t>
    </rPh>
    <phoneticPr fontId="8"/>
  </si>
  <si>
    <t>気候変動に関する保険会社の投資に関して、自社の投資ポートフォリオにおける炭素関連資産の削減を目指しています。また、気候変動に関するリスクと機会を評価するためのツールやガイドラインを開発し、投資先企業やステークホルダーとの対話を行っています。</t>
    <phoneticPr fontId="8"/>
  </si>
  <si>
    <t>中国平安</t>
    <phoneticPr fontId="8"/>
  </si>
  <si>
    <t>HDFC ERGO</t>
    <phoneticPr fontId="8"/>
  </si>
  <si>
    <t>印</t>
    <rPh sb="0" eb="1">
      <t>イン</t>
    </rPh>
    <phoneticPr fontId="8"/>
  </si>
  <si>
    <t xml:space="preserve"> ICICI Lombard</t>
    <phoneticPr fontId="8"/>
  </si>
  <si>
    <t>Tesla</t>
    <phoneticPr fontId="8"/>
  </si>
  <si>
    <t>Tesla車専用のInsureMyTesla保険を販売しており、ドライバーの運転行動を数値化した「安全運転スコア」のみを元に保険料を設定し、充電機器故障やバッテリー切れ時の補償等もカバーしています³。</t>
    <phoneticPr fontId="8"/>
  </si>
  <si>
    <t>EV</t>
    <phoneticPr fontId="8"/>
  </si>
  <si>
    <t>Munich Re</t>
    <phoneticPr fontId="8"/>
  </si>
  <si>
    <t>Talanx</t>
    <phoneticPr fontId="8"/>
  </si>
  <si>
    <t>気候変動に関する保険会社の投資に関して、自社の投資ポートフォリオにおける炭素強度を測定し、低炭素経済への移行を促進するための指標と</t>
    <phoneticPr fontId="8"/>
  </si>
  <si>
    <t>Baloise</t>
    <phoneticPr fontId="8"/>
  </si>
  <si>
    <t>気候変動に関する保険会社の投資に関して、自社の投資ポートフォリオにおけるESG要因の考慮を強化しています。その中には、再生可能エネルギー事業や環境保全事業への投資や融資が含まれます⁴。</t>
    <phoneticPr fontId="8"/>
  </si>
  <si>
    <t>Groupama</t>
    <phoneticPr fontId="8"/>
  </si>
  <si>
    <t>農業保険の分野でフランスのリーダーであり、農業者のニーズに応えるためにさまざまな保険商品を提供しています³。その中には、作物や家畜の保険だけでなく、農業環境保全や再生可能エネルギーの保険も含まれます⁴。</t>
    <phoneticPr fontId="8"/>
  </si>
  <si>
    <t>Crédit Agricole</t>
    <phoneticPr fontId="8"/>
  </si>
  <si>
    <t>農業や環境に関する投資に積極的に取り組んでおり、その一例として、アフリカの農業金融プラットフォームAgriWalletに出資しています⁵。AgriWalletは、農家や農業関係者にデジタルウォレットを提供し、農業生産や流通に必要な資金を安全に管理することができます。</t>
    <phoneticPr fontId="8"/>
  </si>
  <si>
    <t>Legal &amp; General</t>
    <phoneticPr fontId="8"/>
  </si>
  <si>
    <t>気候変動に関する保険会社の投資に関して、自社の投資ポートフォリオにおける炭素関連資産の削減を目指しています。また、気候変動に関するリスクと機会を評価するためのツールやガイドラインを開発し、投資先企業やステークホルダーとの対話を行っています²。</t>
    <phoneticPr fontId="8"/>
  </si>
  <si>
    <t>Länsförsäkringar</t>
    <phoneticPr fontId="8"/>
  </si>
  <si>
    <t>スウェーデン</t>
    <phoneticPr fontId="8"/>
  </si>
  <si>
    <t>農業保険の分野で北欧のリーダーであり、農業者のニーズに応えるためにさまざまな保険商品を提供しています³。その中には、作物や家畜の保険だけでなく、農業環境保全や再生可能エネルギーの保険も含まれます⁴。</t>
    <phoneticPr fontId="8"/>
  </si>
  <si>
    <t>KLP</t>
    <phoneticPr fontId="8"/>
  </si>
  <si>
    <t>ノルウェーのKLPは、気候変動に関する保険会社の投資に関して、自社の投資ポートフォリオにおけるESG要因の考慮を強化しています。その中には、再生可能エネルギー事業や環境保全事業への投資や融資が含まれます。</t>
    <phoneticPr fontId="8"/>
  </si>
  <si>
    <t>ノルウェー</t>
    <phoneticPr fontId="8"/>
  </si>
  <si>
    <t>プルデンシャルは、気候変動に関する保険会社の投資に関して、自社の投資ポートフォリオにおける炭素関連資産の削減を目指しています。また、気候変動に関するリスクと機会を評価するためのツールやガイドラインを開発し、投資先企業やステークホルダーとの対話を行っています³。</t>
    <phoneticPr fontId="8"/>
  </si>
  <si>
    <t>プルデンシャル</t>
    <phoneticPr fontId="8"/>
  </si>
  <si>
    <t>アメリカン・インターナショナル・グループ（AIG）</t>
    <phoneticPr fontId="8"/>
  </si>
  <si>
    <t>気候変動に関する保険会社の投資に関して、自社の投資ポートフォリオにおけるESG要因の考慮を強化しています。その中には、再生可能エネルギー事業や環境保全事業への投資や融資が含まれます⁴</t>
    <phoneticPr fontId="8"/>
  </si>
  <si>
    <t>気候変動に関する保険会社の投資に関して、自社の投資ポートフォリオにおけるESG要因の考慮を強化しています。その中には、再生可能エネルギー事業や環境保全事業への投資や融資が含まれます。農業保険の分野で、携帯電話や衛星画像を利用した気象リスクに対する保険や、気象指数保険や灌漑システムの保険などのマイクロインシュランスを提供しています。これらの保険は、農家の収入安定や生産性向上に貢献しています³。</t>
    <phoneticPr fontId="8"/>
  </si>
  <si>
    <t>La Positiva</t>
    <phoneticPr fontId="8"/>
  </si>
  <si>
    <t>農業保険の分野で、気象指数保険や灌漑システムの保険などのマイクロインシュランスを提供しています。これらの保険は、農家の収入安定や生産性向上に貢献しています。</t>
    <phoneticPr fontId="8"/>
  </si>
  <si>
    <t>自社の投資ポートフォリオにおけるESG要因の考慮を強化しています。その中には、再生可能エネルギー事業や環境保全事業への投資や融資が含まれます²。</t>
    <phoneticPr fontId="8"/>
  </si>
  <si>
    <t>ペルー</t>
    <phoneticPr fontId="8"/>
  </si>
  <si>
    <t>Porto Seguro</t>
    <phoneticPr fontId="8"/>
  </si>
  <si>
    <t>森林保全や土壌修復に関するプロジェクトにも資金提供しています。例えば、ブラジルのアマゾン熱帯雨林での森林保全プロジェクトや、チリの半乾燥地域での土壌劣化防止プロジェクトなどがあります。</t>
    <phoneticPr fontId="8"/>
  </si>
  <si>
    <t>太平洋保険</t>
    <phoneticPr fontId="8"/>
  </si>
  <si>
    <t>農業保険の分野で、携帯電話や衛星画像を利用した気象リスクに対する保険や、気象指数保険や灌漑システムの保険などのマイクロインシュランスを提供しています。これらの保険は、農家の収入安定や生産性向上に貢献しています³。</t>
    <phoneticPr fontId="8"/>
  </si>
  <si>
    <t>安邦保険</t>
    <phoneticPr fontId="8"/>
  </si>
  <si>
    <t>森林保全や土壌修復に関するプロジェクトにも資金提供しています。例えば、中国の内モンゴル自治区での草原保全プロジェクトや、中国の河南省での土壌汚染防止プロジェクトなどがあります⁴。</t>
    <phoneticPr fontId="8"/>
  </si>
  <si>
    <t>気候変動に関する保険会社の投資に関して、自社の投資ポートフォリオにおけるESG要因の考慮を強化しています。その中には、再生可能エネルギー事業や環境保全事業への投資や融資が含まれます。農業保険の分野で、携帯電話や衛星画像を利用した気象リスクに対する保険や、気象指数保険や灌漑システムの保険などのマイクロインシュランスを提供しています。これらの保険は、農家の収入安定や生産性向上に貢献しています¹。</t>
    <phoneticPr fontId="8"/>
  </si>
  <si>
    <t>Bajaj Allianz</t>
    <phoneticPr fontId="8"/>
  </si>
  <si>
    <t>森林保全や土壌修復に関するプロジェクトにも資金提供しています。例えば、インドのラジャスタン州での砂漠化防止プロジェクトや、インドのウッタル・プラデーシュ州での土壌汚染防止プロジェクトなどがあります³。</t>
    <phoneticPr fontId="8"/>
  </si>
  <si>
    <t>劣化土壌修復や農業に関わる投資の事例として、アフリカの農業保険プラットフォームOKOに出資しています⁴。OKOは、携帯電話や衛星画像を利用して、農家に気象リスクに対する保険を提供しています⁵。気候変動専門組織AXA CLIMATEを立ち上げ、災害予測・分析や衛星・ドローン等のデータ活用による災害後の評価等のサービスを提供しています¹。劣化土壌修復や農業に関わる投資の事例として、アフリカの農業保険プラットフォームOKOに出資しています。OKOは、携帯電話や衛星画像を利用して、農家に気象リスクに対する保険を提供しています。気候変動関連保険として、再生可能エネルギー事業や環境保全事業への投資や保険提供を行っています¹。また、炭素固定関連保険として、森林火災保険や炭素固定プロジェクトの保険を提供しています²。</t>
    <phoneticPr fontId="8"/>
  </si>
  <si>
    <t>洪水リスク予測やリカバリを支援するZurich Flood Resilience Allianceや、途上国でのマイクロインシュランス提供等のプロジェクトを実施しています²。その中には、インドネシアの農家に対する気象指数保険や、ペルーの農業生産者に対する灌漑システムの保険などが含まれます³。外部の有識者や研究機関と提携して、洪水リスク予測やリカバリを支援するZurich Flood Resilience Allianceや、途上国でのマイクロインシュランス提供等のプロジェクトを実施しています²。気候変動関連保険として、気象指数保険や灌漑システムの保険などのマイクロインシュランスを提供しています³。また、炭素固定関連保険として、森林保全プロジェクトの保険を提供しています⁴。</t>
    <phoneticPr fontId="8"/>
  </si>
  <si>
    <t>再生可能エネルギー事業を検討・着手しており、その一環として、アフリカのケニアで太陽光発電所を建設し、農村部の電力供給に貢献しています¹。気候変動関連保険として、再生可能エネルギー事業や環境保全事業への投資や保険提供を行っています⁵。また、炭素固定関連保険として、炭素固定プロジェクトの保険を提供しています。</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</si>
</sst>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h:mm;@"/>
  </numFmts>
  <fonts count="14" x14ac:knownFonts="1">
    <font>
      <sz val="11"/>
      <color theme="1" tint="0.34998626667073579"/>
      <name val="Arial"/>
      <family val="2"/>
      <scheme val="minor"/>
    </font>
    <font>
      <sz val="11"/>
      <color theme="1" tint="0.499984740745262"/>
      <name val="Arial"/>
      <family val="2"/>
      <scheme val="major"/>
    </font>
    <font>
      <b/>
      <sz val="26"/>
      <color theme="1" tint="0.24994659260841701"/>
      <name val="Arial"/>
      <family val="2"/>
      <scheme val="major"/>
    </font>
    <font>
      <sz val="14"/>
      <color theme="4" tint="-0.24994659260841701"/>
      <name val="Arial"/>
      <family val="2"/>
      <scheme val="major"/>
    </font>
    <font>
      <b/>
      <sz val="11"/>
      <color theme="0"/>
      <name val="Arial"/>
      <family val="2"/>
      <scheme val="major"/>
    </font>
    <font>
      <sz val="11"/>
      <color theme="1" tint="0.34998626667073579"/>
      <name val="Arial"/>
      <family val="2"/>
      <scheme val="minor"/>
    </font>
    <font>
      <b/>
      <sz val="11"/>
      <color theme="1" tint="0.34998626667073579"/>
      <name val="Arial"/>
      <family val="2"/>
      <scheme val="minor"/>
    </font>
    <font>
      <sz val="11"/>
      <color theme="3"/>
      <name val="Arial"/>
      <family val="2"/>
      <scheme val="minor"/>
    </font>
    <font>
      <sz val="6"/>
      <name val="ＭＳ Ｐゴシック"/>
      <family val="3"/>
      <charset val="128"/>
      <scheme val="minor"/>
    </font>
    <font>
      <sz val="14"/>
      <color theme="4" tint="-0.24994659260841701"/>
      <name val="Meiryo UI"/>
      <family val="3"/>
      <charset val="128"/>
    </font>
    <font>
      <sz val="11"/>
      <color theme="1" tint="0.34998626667073579"/>
      <name val="Meiryo UI"/>
      <family val="3"/>
      <charset val="128"/>
    </font>
    <font>
      <b/>
      <sz val="26"/>
      <color theme="1" tint="0.24994659260841701"/>
      <name val="Meiryo UI"/>
      <family val="3"/>
      <charset val="128"/>
    </font>
    <font>
      <b/>
      <sz val="11"/>
      <color theme="1" tint="0.34998626667073579"/>
      <name val="Meiryo UI"/>
      <family val="3"/>
      <charset val="128"/>
    </font>
    <font>
      <u/>
      <sz val="11"/>
      <color theme="10"/>
      <name val="Arial"/>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D13514"/>
        <bgColor indexed="64"/>
      </patternFill>
    </fill>
  </fills>
  <borders count="3">
    <border>
      <left/>
      <right/>
      <top/>
      <bottom/>
      <diagonal/>
    </border>
    <border>
      <left style="thick">
        <color theme="0" tint="-0.24994659260841701"/>
      </left>
      <right/>
      <top/>
      <bottom/>
      <diagonal/>
    </border>
    <border>
      <left/>
      <right/>
      <top style="thick">
        <color theme="3"/>
      </top>
      <bottom/>
      <diagonal/>
    </border>
  </borders>
  <cellStyleXfs count="10">
    <xf numFmtId="0" fontId="0" fillId="0" borderId="0">
      <alignment horizontal="left" vertical="center"/>
    </xf>
    <xf numFmtId="0" fontId="2" fillId="0" borderId="0" applyNumberFormat="0" applyFill="0" applyProtection="0">
      <alignment horizontal="left" vertical="top"/>
    </xf>
    <xf numFmtId="0" fontId="3" fillId="0" borderId="0" applyNumberFormat="0" applyFill="0" applyProtection="0">
      <alignment horizontal="left"/>
    </xf>
    <xf numFmtId="0" fontId="1" fillId="2" borderId="0" applyNumberFormat="0" applyFont="0" applyAlignment="0" applyProtection="0">
      <alignment vertical="center"/>
    </xf>
    <xf numFmtId="0" fontId="4" fillId="3" borderId="2" applyNumberFormat="0" applyProtection="0">
      <alignment horizontal="left" vertical="center" indent="4"/>
    </xf>
    <xf numFmtId="0" fontId="7" fillId="0" borderId="1" applyNumberFormat="0" applyFill="0" applyProtection="0"/>
    <xf numFmtId="0" fontId="5" fillId="0" borderId="0">
      <alignment horizontal="left" vertical="center" wrapText="1" indent="1"/>
    </xf>
    <xf numFmtId="0" fontId="6" fillId="0" borderId="0">
      <alignment horizontal="left" vertical="center"/>
    </xf>
    <xf numFmtId="0" fontId="13" fillId="0" borderId="0" applyNumberFormat="0" applyFill="0" applyBorder="0" applyAlignment="0" applyProtection="0">
      <alignment horizontal="left" vertical="center"/>
    </xf>
    <xf numFmtId="0" fontId="13" fillId="0" borderId="0" applyNumberFormat="0" applyFill="0" applyBorder="0" applyAlignment="0" applyProtection="0">
      <alignment horizontal="left" vertical="center"/>
    </xf>
  </cellStyleXfs>
  <cellXfs count="16">
    <xf numFmtId="0" fontId="0" fillId="0" borderId="0" xfId="0">
      <alignment horizontal="left" vertical="center"/>
    </xf>
    <xf numFmtId="0" fontId="9" fillId="0" borderId="0" xfId="2" applyFont="1">
      <alignment horizontal="left"/>
    </xf>
    <xf numFmtId="0" fontId="10" fillId="0" borderId="0" xfId="0" applyFont="1">
      <alignment horizontal="left" vertical="center"/>
    </xf>
    <xf numFmtId="0" fontId="11" fillId="0" borderId="0" xfId="1" applyFont="1">
      <alignment horizontal="left" vertical="top"/>
    </xf>
    <xf numFmtId="0" fontId="10" fillId="0" borderId="0" xfId="0" applyFont="1" applyAlignment="1">
      <alignment vertical="top"/>
    </xf>
    <xf numFmtId="0" fontId="10" fillId="0" borderId="0" xfId="0" applyFont="1" applyAlignment="1">
      <alignment horizontal="left"/>
    </xf>
    <xf numFmtId="0" fontId="12" fillId="0" borderId="0" xfId="0" applyFont="1">
      <alignment horizontal="left" vertical="center"/>
    </xf>
    <xf numFmtId="0" fontId="12" fillId="0" borderId="0" xfId="0" applyFont="1" applyAlignment="1">
      <alignment horizontal="left" vertical="center" indent="2"/>
    </xf>
    <xf numFmtId="0" fontId="12" fillId="0" borderId="0" xfId="0" applyFont="1" applyAlignment="1">
      <alignment horizontal="center" vertical="center"/>
    </xf>
    <xf numFmtId="0" fontId="12" fillId="0" borderId="0" xfId="7" applyFont="1">
      <alignment horizontal="left" vertical="center"/>
    </xf>
    <xf numFmtId="14" fontId="10" fillId="0" borderId="0" xfId="0" applyNumberFormat="1" applyFont="1">
      <alignment horizontal="left" vertical="center"/>
    </xf>
    <xf numFmtId="176" fontId="10" fillId="0" borderId="0" xfId="0" applyNumberFormat="1" applyFont="1">
      <alignment horizontal="left" vertical="center"/>
    </xf>
    <xf numFmtId="0" fontId="10" fillId="0" borderId="0" xfId="0" applyFont="1" applyAlignment="1">
      <alignment horizontal="left" vertical="center" indent="1"/>
    </xf>
    <xf numFmtId="0" fontId="10" fillId="0" borderId="0" xfId="0" applyFont="1" applyAlignment="1">
      <alignment horizontal="left" vertical="center" indent="3"/>
    </xf>
    <xf numFmtId="0" fontId="13" fillId="0" borderId="0" xfId="8">
      <alignment horizontal="left" vertical="center"/>
    </xf>
    <xf numFmtId="0" fontId="13" fillId="0" borderId="0" xfId="9">
      <alignment horizontal="left" vertical="center"/>
    </xf>
  </cellXfs>
  <cellStyles count="10">
    <cellStyle name="Hyperlink" xfId="9" xr:uid="{00000000-000B-0000-0000-000008000000}"/>
    <cellStyle name="タイトル" xfId="3" builtinId="15" customBuiltin="1"/>
    <cellStyle name="チェックリストの詳細" xfId="6" xr:uid="{00000000-0005-0000-0000-000001000000}"/>
    <cellStyle name="ハイパーリンク" xfId="8" builtinId="8"/>
    <cellStyle name="強力な" xfId="7" xr:uid="{00000000-0005-0000-0000-000002000000}"/>
    <cellStyle name="見出し 1" xfId="1" builtinId="16" customBuiltin="1"/>
    <cellStyle name="見出し 2" xfId="2" builtinId="17" customBuiltin="1"/>
    <cellStyle name="見出し 3" xfId="4" builtinId="18" customBuiltin="1"/>
    <cellStyle name="見出し 4" xfId="5" builtinId="19" customBuiltin="1"/>
    <cellStyle name="標準" xfId="0" builtinId="0" customBuiltin="1"/>
  </cellStyles>
  <dxfs count="46">
    <dxf>
      <font>
        <strike val="0"/>
        <outline val="0"/>
        <shadow val="0"/>
        <u val="none"/>
        <vertAlign val="baseline"/>
        <name val="Meiryo UI"/>
        <family val="3"/>
        <charset val="128"/>
        <scheme val="none"/>
      </font>
      <alignment horizontal="left" vertical="center" textRotation="0" wrapText="0" indent="1" justifyLastLine="0" shrinkToFit="0" readingOrder="0"/>
    </dxf>
    <dxf>
      <font>
        <strike val="0"/>
        <outline val="0"/>
        <shadow val="0"/>
        <u val="none"/>
        <vertAlign val="baseline"/>
        <name val="Meiryo UI"/>
        <family val="3"/>
        <charset val="128"/>
        <scheme val="none"/>
      </font>
      <alignment horizontal="left" vertical="center" textRotation="0" wrapText="0" indent="1" justifyLastLine="0" shrinkToFit="0" readingOrder="0"/>
    </dxf>
    <dxf>
      <font>
        <strike val="0"/>
        <outline val="0"/>
        <shadow val="0"/>
        <u val="none"/>
        <vertAlign val="baseline"/>
        <name val="Meiryo UI"/>
        <family val="3"/>
        <charset val="128"/>
        <scheme val="none"/>
      </font>
      <alignment horizontal="left" vertical="center" textRotation="0" wrapText="0" indent="1" justifyLastLine="0" shrinkToFit="0" readingOrder="0"/>
    </dxf>
    <dxf>
      <font>
        <strike val="0"/>
        <outline val="0"/>
        <shadow val="0"/>
        <u val="none"/>
        <vertAlign val="baseline"/>
        <name val="Meiryo UI"/>
        <family val="3"/>
        <charset val="128"/>
        <scheme val="none"/>
      </font>
    </dxf>
    <dxf>
      <font>
        <strike val="0"/>
        <outline val="0"/>
        <shadow val="0"/>
        <u val="none"/>
        <vertAlign val="baseline"/>
        <name val="Meiryo UI"/>
        <family val="3"/>
        <charset val="128"/>
        <scheme val="none"/>
      </font>
      <alignment horizontal="left" vertical="center" textRotation="0" wrapText="0" indent="1" justifyLastLine="0" shrinkToFit="0" readingOrder="0"/>
    </dxf>
    <dxf>
      <font>
        <strike val="0"/>
        <outline val="0"/>
        <shadow val="0"/>
        <u val="none"/>
        <vertAlign val="baseline"/>
        <name val="Meiryo UI"/>
        <family val="3"/>
        <charset val="128"/>
        <scheme val="none"/>
      </font>
      <alignment horizontal="left" vertical="center" textRotation="0" wrapText="0" indent="1" justifyLastLine="0" shrinkToFit="0" readingOrder="0"/>
    </dxf>
    <dxf>
      <font>
        <strike val="0"/>
        <outline val="0"/>
        <shadow val="0"/>
        <u val="none"/>
        <vertAlign val="baseline"/>
        <name val="Meiryo UI"/>
        <family val="3"/>
        <charset val="128"/>
        <scheme val="none"/>
      </font>
      <alignment horizontal="left" vertical="center" textRotation="0" wrapText="0" indent="1" justifyLastLine="0" shrinkToFit="0" readingOrder="0"/>
    </dxf>
    <dxf>
      <font>
        <strike val="0"/>
        <outline val="0"/>
        <shadow val="0"/>
        <u val="none"/>
        <vertAlign val="baseline"/>
        <name val="Meiryo UI"/>
        <family val="3"/>
        <charset val="128"/>
        <scheme val="none"/>
      </font>
    </dxf>
    <dxf>
      <font>
        <strike val="0"/>
        <outline val="0"/>
        <shadow val="0"/>
        <u val="none"/>
        <vertAlign val="baseline"/>
        <name val="Meiryo UI"/>
        <family val="3"/>
        <charset val="128"/>
        <scheme val="none"/>
      </font>
      <alignment horizontal="left" vertical="center" textRotation="0" wrapText="0" indent="1" justifyLastLine="0" shrinkToFit="0" readingOrder="0"/>
    </dxf>
    <dxf>
      <font>
        <strike val="0"/>
        <outline val="0"/>
        <shadow val="0"/>
        <u val="none"/>
        <vertAlign val="baseline"/>
        <name val="Meiryo UI"/>
        <family val="3"/>
        <charset val="128"/>
        <scheme val="none"/>
      </font>
      <alignment horizontal="left" vertical="center" textRotation="0" wrapText="0" indent="1" justifyLastLine="0" shrinkToFit="0" readingOrder="0"/>
    </dxf>
    <dxf>
      <font>
        <strike val="0"/>
        <outline val="0"/>
        <shadow val="0"/>
        <u val="none"/>
        <vertAlign val="baseline"/>
        <name val="Meiryo UI"/>
        <family val="3"/>
        <charset val="128"/>
        <scheme val="none"/>
      </font>
      <alignment horizontal="left" vertical="center" textRotation="0" wrapText="0" indent="1" justifyLastLine="0" shrinkToFit="0" readingOrder="0"/>
    </dxf>
    <dxf>
      <font>
        <strike val="0"/>
        <outline val="0"/>
        <shadow val="0"/>
        <u val="none"/>
        <vertAlign val="baseline"/>
        <name val="Meiryo UI"/>
        <family val="3"/>
        <charset val="128"/>
        <scheme val="none"/>
      </font>
    </dxf>
    <dxf>
      <font>
        <strike val="0"/>
        <outline val="0"/>
        <shadow val="0"/>
        <u val="none"/>
        <vertAlign val="baseline"/>
        <name val="Meiryo UI"/>
        <family val="3"/>
        <charset val="128"/>
        <scheme val="none"/>
      </font>
      <alignment horizontal="left" vertical="center" textRotation="0" wrapText="0" indent="1" justifyLastLine="0" shrinkToFit="0" readingOrder="0"/>
    </dxf>
    <dxf>
      <font>
        <strike val="0"/>
        <outline val="0"/>
        <shadow val="0"/>
        <u val="none"/>
        <vertAlign val="baseline"/>
        <name val="Meiryo UI"/>
        <family val="3"/>
        <charset val="128"/>
        <scheme val="none"/>
      </font>
      <alignment horizontal="left" vertical="center" textRotation="0" wrapText="0" indent="1" justifyLastLine="0" shrinkToFit="0" readingOrder="0"/>
    </dxf>
    <dxf>
      <font>
        <strike val="0"/>
        <outline val="0"/>
        <shadow val="0"/>
        <u val="none"/>
        <vertAlign val="baseline"/>
        <name val="Meiryo UI"/>
        <family val="3"/>
        <charset val="128"/>
        <scheme val="none"/>
      </font>
      <alignment horizontal="left" vertical="center" textRotation="0" wrapText="0" indent="1" justifyLastLine="0" shrinkToFit="0" readingOrder="0"/>
    </dxf>
    <dxf>
      <font>
        <strike val="0"/>
        <outline val="0"/>
        <shadow val="0"/>
        <u val="none"/>
        <vertAlign val="baseline"/>
        <name val="Meiryo UI"/>
        <family val="3"/>
        <charset val="128"/>
        <scheme val="none"/>
      </font>
    </dxf>
    <dxf>
      <font>
        <b val="0"/>
        <i val="0"/>
        <strike val="0"/>
        <condense val="0"/>
        <extend val="0"/>
        <outline val="0"/>
        <shadow val="0"/>
        <u val="none"/>
        <vertAlign val="baseline"/>
        <sz val="11"/>
        <color theme="1" tint="0.34998626667073579"/>
        <name val="Meiryo UI"/>
        <family val="3"/>
        <charset val="128"/>
        <scheme val="none"/>
      </font>
    </dxf>
    <dxf>
      <font>
        <b val="0"/>
        <i val="0"/>
        <strike val="0"/>
        <condense val="0"/>
        <extend val="0"/>
        <outline val="0"/>
        <shadow val="0"/>
        <u val="none"/>
        <vertAlign val="baseline"/>
        <sz val="11"/>
        <color theme="1" tint="0.34998626667073579"/>
        <name val="Meiryo UI"/>
        <family val="3"/>
        <charset val="128"/>
        <scheme val="none"/>
      </font>
      <numFmt numFmtId="176" formatCode="h:mm;@"/>
    </dxf>
    <dxf>
      <font>
        <b val="0"/>
        <i val="0"/>
        <strike val="0"/>
        <condense val="0"/>
        <extend val="0"/>
        <outline val="0"/>
        <shadow val="0"/>
        <u val="none"/>
        <vertAlign val="baseline"/>
        <sz val="11"/>
        <color theme="1" tint="0.34998626667073579"/>
        <name val="Meiryo UI"/>
        <family val="3"/>
        <charset val="128"/>
        <scheme val="none"/>
      </font>
      <numFmt numFmtId="176" formatCode="h:mm;@"/>
    </dxf>
    <dxf>
      <font>
        <b val="0"/>
        <i val="0"/>
        <strike val="0"/>
        <condense val="0"/>
        <extend val="0"/>
        <outline val="0"/>
        <shadow val="0"/>
        <u val="none"/>
        <vertAlign val="baseline"/>
        <sz val="11"/>
        <color theme="1" tint="0.34998626667073579"/>
        <name val="Meiryo UI"/>
        <family val="3"/>
        <charset val="128"/>
        <scheme val="none"/>
      </font>
      <numFmt numFmtId="176" formatCode="h:mm;@"/>
    </dxf>
    <dxf>
      <font>
        <b val="0"/>
        <i val="0"/>
        <strike val="0"/>
        <condense val="0"/>
        <extend val="0"/>
        <outline val="0"/>
        <shadow val="0"/>
        <u val="none"/>
        <vertAlign val="baseline"/>
        <sz val="11"/>
        <color theme="1" tint="0.34998626667073579"/>
        <name val="Meiryo UI"/>
        <family val="3"/>
        <charset val="128"/>
        <scheme val="none"/>
      </font>
      <numFmt numFmtId="176" formatCode="h:mm;@"/>
    </dxf>
    <dxf>
      <font>
        <b val="0"/>
        <i val="0"/>
        <strike val="0"/>
        <condense val="0"/>
        <extend val="0"/>
        <outline val="0"/>
        <shadow val="0"/>
        <u val="none"/>
        <vertAlign val="baseline"/>
        <sz val="11"/>
        <color theme="1" tint="0.34998626667073579"/>
        <name val="Meiryo UI"/>
        <family val="3"/>
        <charset val="128"/>
        <scheme val="none"/>
      </font>
      <numFmt numFmtId="176" formatCode="h:mm;@"/>
    </dxf>
    <dxf>
      <font>
        <b val="0"/>
        <i val="0"/>
        <strike val="0"/>
        <condense val="0"/>
        <extend val="0"/>
        <outline val="0"/>
        <shadow val="0"/>
        <u val="none"/>
        <vertAlign val="baseline"/>
        <sz val="11"/>
        <color theme="1" tint="0.34998626667073579"/>
        <name val="Meiryo UI"/>
        <family val="3"/>
        <charset val="128"/>
        <scheme val="none"/>
      </font>
      <numFmt numFmtId="19" formatCode="yyyy/m/d"/>
    </dxf>
    <dxf>
      <font>
        <b val="0"/>
        <i val="0"/>
        <strike val="0"/>
        <condense val="0"/>
        <extend val="0"/>
        <outline val="0"/>
        <shadow val="0"/>
        <u val="none"/>
        <vertAlign val="baseline"/>
        <sz val="11"/>
        <color theme="1" tint="0.34998626667073579"/>
        <name val="Meiryo UI"/>
        <family val="3"/>
        <charset val="128"/>
        <scheme val="none"/>
      </font>
      <numFmt numFmtId="0" formatCode="General"/>
    </dxf>
    <dxf>
      <font>
        <b/>
        <i val="0"/>
        <strike val="0"/>
        <condense val="0"/>
        <extend val="0"/>
        <outline val="0"/>
        <shadow val="0"/>
        <u val="none"/>
        <vertAlign val="baseline"/>
        <sz val="11"/>
        <color theme="1" tint="0.34998626667073579"/>
        <name val="Meiryo UI"/>
        <family val="3"/>
        <charset val="128"/>
        <scheme val="none"/>
      </font>
      <numFmt numFmtId="0" formatCode="General"/>
      <alignment horizontal="left" vertical="center" textRotation="0" wrapText="0" indent="0" justifyLastLine="0" shrinkToFit="0" readingOrder="0"/>
    </dxf>
    <dxf>
      <font>
        <b/>
        <i val="0"/>
        <strike val="0"/>
        <condense val="0"/>
        <extend val="0"/>
        <outline val="0"/>
        <shadow val="0"/>
        <u val="none"/>
        <vertAlign val="baseline"/>
        <sz val="11"/>
        <color theme="1" tint="0.34998626667073579"/>
        <name val="Meiryo UI"/>
        <family val="3"/>
        <charset val="128"/>
        <scheme val="none"/>
      </font>
      <alignment horizontal="center" vertical="center" textRotation="0" wrapText="0" indent="0" justifyLastLine="0" shrinkToFit="0" readingOrder="0"/>
    </dxf>
    <dxf>
      <font>
        <b/>
        <i val="0"/>
        <strike val="0"/>
        <condense val="0"/>
        <extend val="0"/>
        <outline val="0"/>
        <shadow val="0"/>
        <u val="none"/>
        <vertAlign val="baseline"/>
        <sz val="11"/>
        <color theme="1" tint="0.34998626667073579"/>
        <name val="Meiryo UI"/>
        <family val="3"/>
        <charset val="128"/>
        <scheme val="none"/>
      </font>
      <fill>
        <patternFill patternType="none">
          <fgColor indexed="64"/>
          <bgColor auto="1"/>
        </patternFill>
      </fill>
    </dxf>
    <dxf>
      <font>
        <strike val="0"/>
        <outline val="0"/>
        <shadow val="0"/>
        <u val="none"/>
        <vertAlign val="baseline"/>
        <name val="Meiryo UI"/>
        <family val="3"/>
        <charset val="128"/>
        <scheme val="none"/>
      </font>
    </dxf>
    <dxf>
      <font>
        <strike val="0"/>
        <outline val="0"/>
        <shadow val="0"/>
        <u val="none"/>
        <vertAlign val="baseline"/>
        <name val="Meiryo UI"/>
        <family val="3"/>
        <charset val="128"/>
        <scheme val="none"/>
      </font>
    </dxf>
    <dxf>
      <font>
        <strike val="0"/>
        <outline val="0"/>
        <shadow val="0"/>
        <u val="none"/>
        <vertAlign val="baseline"/>
        <name val="Meiryo UI"/>
        <family val="3"/>
        <charset val="128"/>
        <scheme val="none"/>
      </font>
    </dxf>
    <dxf>
      <font>
        <strike val="0"/>
        <outline val="0"/>
        <shadow val="0"/>
        <u val="none"/>
        <vertAlign val="baseline"/>
        <name val="Meiryo UI"/>
        <family val="3"/>
        <charset val="128"/>
        <scheme val="none"/>
      </font>
    </dxf>
    <dxf>
      <font>
        <strike val="0"/>
        <outline val="0"/>
        <shadow val="0"/>
        <u val="none"/>
        <vertAlign val="baseline"/>
        <name val="Meiryo UI"/>
        <family val="3"/>
        <charset val="128"/>
        <scheme val="none"/>
      </font>
    </dxf>
    <dxf>
      <font>
        <strike val="0"/>
        <outline val="0"/>
        <shadow val="0"/>
        <u val="none"/>
        <vertAlign val="baseline"/>
        <name val="Meiryo UI"/>
        <family val="3"/>
        <charset val="128"/>
        <scheme val="none"/>
      </font>
    </dxf>
    <dxf>
      <font>
        <strike val="0"/>
        <outline val="0"/>
        <shadow val="0"/>
        <u val="none"/>
        <vertAlign val="baseline"/>
        <name val="Meiryo UI"/>
        <family val="3"/>
        <charset val="128"/>
        <scheme val="none"/>
      </font>
      <alignment horizontal="left" vertical="center" textRotation="0" wrapText="0" indent="1" justifyLastLine="0" shrinkToFit="0" readingOrder="0"/>
    </dxf>
    <dxf>
      <font>
        <strike val="0"/>
        <outline val="0"/>
        <shadow val="0"/>
        <u val="none"/>
        <vertAlign val="baseline"/>
        <name val="Meiryo UI"/>
        <family val="3"/>
        <charset val="128"/>
        <scheme val="none"/>
      </font>
    </dxf>
    <dxf>
      <font>
        <strike val="0"/>
        <outline val="0"/>
        <shadow val="0"/>
        <u val="none"/>
        <vertAlign val="baseline"/>
        <name val="Meiryo UI"/>
        <family val="3"/>
        <charset val="128"/>
        <scheme val="none"/>
      </font>
    </dxf>
    <dxf>
      <font>
        <b val="0"/>
        <i val="0"/>
        <color theme="5"/>
      </font>
    </dxf>
    <dxf>
      <font>
        <b/>
        <i val="0"/>
        <color theme="1" tint="0.34998626667073579"/>
      </font>
    </dxf>
    <dxf>
      <font>
        <b/>
        <i val="0"/>
        <color theme="1" tint="0.34998626667073579"/>
      </font>
      <border>
        <top style="thin">
          <color theme="4"/>
        </top>
      </border>
    </dxf>
    <dxf>
      <font>
        <b/>
        <i val="0"/>
        <color theme="0"/>
      </font>
      <fill>
        <patternFill>
          <bgColor theme="4" tint="-0.24994659260841701"/>
        </patternFill>
      </fill>
      <border>
        <left style="thick">
          <color theme="3"/>
        </left>
        <right style="thin">
          <color theme="4"/>
        </right>
        <top style="thick">
          <color theme="3"/>
        </top>
        <bottom style="thin">
          <color theme="4"/>
        </bottom>
        <vertical/>
        <horizontal/>
      </border>
    </dxf>
    <dxf>
      <font>
        <b val="0"/>
        <i val="0"/>
        <color theme="1" tint="0.34998626667073579"/>
      </font>
      <border diagonalUp="0" diagonalDown="0">
        <left style="thick">
          <color theme="1" tint="0.499984740745262"/>
        </left>
        <right style="thin">
          <color theme="1" tint="0.499984740745262"/>
        </right>
        <top/>
        <bottom/>
        <vertical/>
        <horizontal style="dotted">
          <color theme="0" tint="-0.14996795556505021"/>
        </horizontal>
      </border>
    </dxf>
    <dxf>
      <font>
        <b val="0"/>
        <i val="0"/>
        <color theme="5"/>
      </font>
    </dxf>
    <dxf>
      <font>
        <b/>
        <i val="0"/>
        <color theme="1" tint="0.34998626667073579"/>
      </font>
      <border>
        <left style="thin">
          <color theme="5" tint="-0.24994659260841701"/>
        </left>
        <right style="thin">
          <color theme="5" tint="-0.24994659260841701"/>
        </right>
        <top style="thin">
          <color theme="5" tint="-0.24994659260841701"/>
        </top>
        <bottom style="thin">
          <color theme="5" tint="-0.24994659260841701"/>
        </bottom>
        <vertical style="thin">
          <color theme="5" tint="-0.24994659260841701"/>
        </vertical>
        <horizontal style="thin">
          <color theme="5" tint="-0.24994659260841701"/>
        </horizontal>
      </border>
    </dxf>
    <dxf>
      <font>
        <b/>
        <i val="0"/>
        <color theme="1" tint="0.34998626667073579"/>
      </font>
      <border>
        <top style="thin">
          <color theme="4"/>
        </top>
      </border>
    </dxf>
    <dxf>
      <font>
        <b/>
        <i val="0"/>
        <color theme="0"/>
      </font>
      <fill>
        <patternFill>
          <bgColor theme="4" tint="-0.24994659260841701"/>
        </patternFill>
      </fill>
      <border>
        <left style="thick">
          <color theme="3"/>
        </left>
        <right style="thin">
          <color theme="4"/>
        </right>
        <top style="thick">
          <color theme="3"/>
        </top>
        <bottom style="thin">
          <color theme="4" tint="-0.24994659260841701"/>
        </bottom>
        <vertical/>
        <horizontal/>
      </border>
    </dxf>
    <dxf>
      <font>
        <b val="0"/>
        <i val="0"/>
        <color theme="1" tint="0.34998626667073579"/>
      </font>
      <border diagonalUp="0" diagonalDown="0">
        <left style="thick">
          <color theme="1" tint="0.499984740745262"/>
        </left>
        <right style="thin">
          <color theme="1" tint="0.499984740745262"/>
        </right>
        <top/>
        <bottom/>
        <vertical/>
        <horizontal style="dotted">
          <color theme="0" tint="-0.14996795556505021"/>
        </horizontal>
      </border>
    </dxf>
  </dxfs>
  <tableStyles count="2" defaultTableStyle="TableStyleMedium2" defaultPivotStyle="PivotStyleMedium2">
    <tableStyle name="営業の電話チェックリスト" pivot="0" count="5" xr9:uid="{00000000-0011-0000-FFFF-FFFF00000000}">
      <tableStyleElement type="wholeTable" dxfId="45"/>
      <tableStyleElement type="headerRow" dxfId="44"/>
      <tableStyleElement type="totalRow" dxfId="43"/>
      <tableStyleElement type="firstColumn" dxfId="42"/>
      <tableStyleElement type="lastColumn" dxfId="41"/>
    </tableStyle>
    <tableStyle name="営業の電話レポート" pivot="0" count="5" xr9:uid="{00000000-0011-0000-FFFF-FFFF01000000}">
      <tableStyleElement type="wholeTable" dxfId="40"/>
      <tableStyleElement type="headerRow" dxfId="39"/>
      <tableStyleElement type="totalRow" dxfId="38"/>
      <tableStyleElement type="firstColumn" dxfId="37"/>
      <tableStyleElement type="lastColumn"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1000000}" name="クライアントの連絡先情報" displayName="クライアントの連絡先情報" ref="B3:H217" totalsRowShown="0" headerRowDxfId="35" dataDxfId="34">
  <autoFilter ref="B3:H217" xr:uid="{00000000-0009-0000-0100-00000A000000}"/>
  <sortState xmlns:xlrd2="http://schemas.microsoft.com/office/spreadsheetml/2017/richdata2" ref="B4:H217">
    <sortCondition ref="B3:B217"/>
  </sortState>
  <tableColumns count="7">
    <tableColumn id="1" xr3:uid="{00000000-0010-0000-0100-000001000000}" name="Client Name" dataDxfId="33"/>
    <tableColumn id="2" xr3:uid="{00000000-0010-0000-0100-000002000000}" name="Industry" dataDxfId="32"/>
    <tableColumn id="3" xr3:uid="{00000000-0010-0000-0100-000003000000}" name="Country Name" dataDxfId="31"/>
    <tableColumn id="4" xr3:uid="{00000000-0010-0000-0100-000004000000}" name="URL" dataDxfId="30"/>
    <tableColumn id="5" xr3:uid="{00000000-0010-0000-0100-000005000000}" name="Name of person in charge" dataDxfId="29"/>
    <tableColumn id="6" xr3:uid="{00000000-0010-0000-0100-000006000000}" name="Mail Address" dataDxfId="28"/>
    <tableColumn id="7" xr3:uid="{00000000-0010-0000-0100-000007000000}" name="Contact Address/Tel" dataDxfId="27"/>
  </tableColumns>
  <tableStyleInfo name="営業の電話レポート" showFirstColumn="1" showLastColumn="0" showRowStripes="1" showColumnStripes="0"/>
  <extLst>
    <ext xmlns:x14="http://schemas.microsoft.com/office/spreadsheetml/2009/9/main" uri="{504A1905-F514-4f6f-8877-14C23A59335A}">
      <x14:table altTextSummary="クライアントの連絡先の詳細です (クライアント名、会社名、住所、電話番号、メールなど)。クライアント名と会社名は、営業の電話ログ ワークシートの営業の電話表で使用されます"/>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営業の電話ログ" displayName="営業の電話ログ" ref="B3:K55" totalsRowShown="0" headerRowDxfId="26">
  <autoFilter ref="B3:K55"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000-000001000000}" name="No." dataDxfId="25"/>
    <tableColumn id="2" xr3:uid="{00000000-0010-0000-0000-000002000000}" name="Name" dataDxfId="24" dataCellStyle="強力な"/>
    <tableColumn id="3" xr3:uid="{00000000-0010-0000-0000-000003000000}" name="Company" dataDxfId="23">
      <calculatedColumnFormula>IF(営業の電話ログ[[#This Row],[Name]]="","",IFERROR(VLOOKUP(営業の電話ログ[[#This Row],[Name]],クライアントの連絡先情報[],2,0),"Not Found"))</calculatedColumnFormula>
    </tableColumn>
    <tableColumn id="4" xr3:uid="{00000000-0010-0000-0000-000004000000}" name="Date" dataDxfId="22"/>
    <tableColumn id="5" xr3:uid="{00000000-0010-0000-0000-000005000000}" name="Content" dataDxfId="21"/>
    <tableColumn id="10" xr3:uid="{F6468FF9-C1FE-461D-BD53-524D54A35C35}" name="Mail" dataDxfId="20"/>
    <tableColumn id="9" xr3:uid="{23DF9EFC-7957-40D7-B544-7A453C7F1468}" name="Memo1" dataDxfId="19"/>
    <tableColumn id="8" xr3:uid="{48C4243F-67FA-46F9-B1E5-203B2537B814}" name="Memo2" dataDxfId="18"/>
    <tableColumn id="7" xr3:uid="{0F0981AF-4053-4B78-B6AF-845FD4749B5F}" name="メモ３" dataDxfId="17"/>
    <tableColumn id="6" xr3:uid="{00000000-0010-0000-0000-000006000000}" name="Remarks" dataDxfId="16"/>
  </tableColumns>
  <tableStyleInfo name="営業の電話レポート"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電話する前に" displayName="電話する前に" ref="B3:C13" totalsRowShown="0" headerRowDxfId="15" dataDxfId="14">
  <autoFilter ref="B3:C13" xr:uid="{00000000-0009-0000-0100-000002000000}">
    <filterColumn colId="0" hiddenButton="1"/>
    <filterColumn colId="1" hiddenButton="1"/>
  </autoFilter>
  <tableColumns count="2">
    <tableColumn id="1" xr3:uid="{00000000-0010-0000-0200-000001000000}" name="チェック ボックス" dataDxfId="13"/>
    <tableColumn id="2" xr3:uid="{00000000-0010-0000-0200-000002000000}" name="訪問の前に" dataDxfId="12"/>
  </tableColumns>
  <tableStyleInfo name="営業の電話チェックリスト"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初回の電話" displayName="初回の電話" ref="B3:C13" totalsRowShown="0" headerRowDxfId="11" dataDxfId="10">
  <tableColumns count="2">
    <tableColumn id="1" xr3:uid="{00000000-0010-0000-0300-000001000000}" name="チェック ボックス" dataDxfId="9"/>
    <tableColumn id="2" xr3:uid="{00000000-0010-0000-0300-000002000000}" name="初回のアプローチ" dataDxfId="8"/>
  </tableColumns>
  <tableStyleInfo name="営業の電話チェックリスト" showFirstColumn="1" showLastColumn="0" showRowStripes="1" showColumnStripes="0"/>
  <extLst>
    <ext xmlns:x14="http://schemas.microsoft.com/office/spreadsheetml/2009/9/main" uri="{504A1905-F514-4f6f-8877-14C23A59335A}">
      <x14:table altTextSummary="チェック ボックス列とカスタマイズ可能なラベルを使用した初回の電話のチェックリストです "/>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4000000}" name="営業情報" displayName="営業情報" ref="B3:C13" totalsRowShown="0" headerRowDxfId="7" dataDxfId="6">
  <tableColumns count="2">
    <tableColumn id="1" xr3:uid="{00000000-0010-0000-0400-000001000000}" name="チェック ボックス" dataDxfId="5"/>
    <tableColumn id="2" xr3:uid="{00000000-0010-0000-0400-000002000000}" name="営業情報" dataDxfId="4"/>
  </tableColumns>
  <tableStyleInfo name="営業の電話チェックリスト" showFirstColumn="1" showLastColumn="0" showRowStripes="1" showColumnStripes="0"/>
  <extLst>
    <ext xmlns:x14="http://schemas.microsoft.com/office/spreadsheetml/2009/9/main" uri="{504A1905-F514-4f6f-8877-14C23A59335A}">
      <x14:table altTextSummary="チェック ボックス列とカスタマイズ可能なラベルを使用した営業情報のチェックリストです "/>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フォローアップ情報" displayName="フォローアップ情報" ref="B3:C13" totalsRowShown="0" headerRowDxfId="3" dataDxfId="2">
  <tableColumns count="2">
    <tableColumn id="1" xr3:uid="{00000000-0010-0000-0500-000001000000}" name="チェック ボックス" dataDxfId="1"/>
    <tableColumn id="2" xr3:uid="{00000000-0010-0000-0500-000002000000}" name="フォローアップ情報" dataDxfId="0"/>
  </tableColumns>
  <tableStyleInfo name="営業の電話チェックリスト" showFirstColumn="1" showLastColumn="0" showRowStripes="1" showColumnStripes="0"/>
  <extLst>
    <ext xmlns:x14="http://schemas.microsoft.com/office/spreadsheetml/2009/9/main" uri="{504A1905-F514-4f6f-8877-14C23A59335A}">
      <x14:table altTextSummary="チェック ボックス列とカスタマイズ可能なラベルを使用したフォローアップ情報のチェックリストです "/>
    </ext>
  </extLst>
</table>
</file>

<file path=xl/theme/theme1.xml><?xml version="1.0" encoding="utf-8"?>
<a:theme xmlns:a="http://schemas.openxmlformats.org/drawingml/2006/main" name="Office Theme">
  <a:themeElements>
    <a:clrScheme name="Custom 1">
      <a:dk1>
        <a:srgbClr val="000000"/>
      </a:dk1>
      <a:lt1>
        <a:srgbClr val="FFFFFF"/>
      </a:lt1>
      <a:dk2>
        <a:srgbClr val="481A1D"/>
      </a:dk2>
      <a:lt2>
        <a:srgbClr val="FFFEF9"/>
      </a:lt2>
      <a:accent1>
        <a:srgbClr val="ED6647"/>
      </a:accent1>
      <a:accent2>
        <a:srgbClr val="54A6AD"/>
      </a:accent2>
      <a:accent3>
        <a:srgbClr val="EBAD4A"/>
      </a:accent3>
      <a:accent4>
        <a:srgbClr val="EF8538"/>
      </a:accent4>
      <a:accent5>
        <a:srgbClr val="89B876"/>
      </a:accent5>
      <a:accent6>
        <a:srgbClr val="9B708B"/>
      </a:accent6>
      <a:hlink>
        <a:srgbClr val="3D7A7F"/>
      </a:hlink>
      <a:folHlink>
        <a:srgbClr val="9B708B"/>
      </a:folHlink>
    </a:clrScheme>
    <a:fontScheme name="Sales Call Report">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opencitiesproject.org/about/" TargetMode="External" /><Relationship Id="rId117" Type="http://schemas.openxmlformats.org/officeDocument/2006/relationships/hyperlink" Target="https://www.ewg.org/news-insights/news/2021/12/tackling-food-farming-emissions-key-avoiding-climate-catastrophe" TargetMode="External" /><Relationship Id="rId21" Type="http://schemas.openxmlformats.org/officeDocument/2006/relationships/hyperlink" Target="https://www.sri-2030.org/" TargetMode="External" /><Relationship Id="rId42" Type="http://schemas.openxmlformats.org/officeDocument/2006/relationships/hyperlink" Target="https://nbs.net/" TargetMode="External" /><Relationship Id="rId47" Type="http://schemas.openxmlformats.org/officeDocument/2006/relationships/hyperlink" Target="https://www.unccd.int/land-and-life/land-degradation-neutrality/projects-programmes/target-setting-building-blocks" TargetMode="External" /><Relationship Id="rId63" Type="http://schemas.openxmlformats.org/officeDocument/2006/relationships/hyperlink" Target="https://www.urth.io/farmer" TargetMode="External" /><Relationship Id="rId68" Type="http://schemas.openxmlformats.org/officeDocument/2006/relationships/hyperlink" Target="https://www.triodos-im.com/sustainable-food-and-agriculture" TargetMode="External" /><Relationship Id="rId84" Type="http://schemas.openxmlformats.org/officeDocument/2006/relationships/hyperlink" Target="https://www.kws.com/corp/en/company/management/executive-board/" TargetMode="External" /><Relationship Id="rId89" Type="http://schemas.openxmlformats.org/officeDocument/2006/relationships/hyperlink" Target="https://www.syngenta.com/en/sustainability/climate-change/climate-smart-soils" TargetMode="External" /><Relationship Id="rId112" Type="http://schemas.openxmlformats.org/officeDocument/2006/relationships/hyperlink" Target="https://ellenmacarthurfoundation.org/" TargetMode="External" /><Relationship Id="rId16" Type="http://schemas.openxmlformats.org/officeDocument/2006/relationships/hyperlink" Target="https://www.insuresilience.org/" TargetMode="External" /><Relationship Id="rId107" Type="http://schemas.openxmlformats.org/officeDocument/2006/relationships/hyperlink" Target="https://nbsguidelines.info/" TargetMode="External" /><Relationship Id="rId11" Type="http://schemas.openxmlformats.org/officeDocument/2006/relationships/hyperlink" Target="https://www.bsr.org/en/" TargetMode="External" /><Relationship Id="rId32" Type="http://schemas.openxmlformats.org/officeDocument/2006/relationships/hyperlink" Target="https://www.cgiar.org/" TargetMode="External" /><Relationship Id="rId37" Type="http://schemas.openxmlformats.org/officeDocument/2006/relationships/hyperlink" Target="https://www.fao.org/global-soil-partnership/resources/highlights/detail/en/c/1371484/" TargetMode="External" /><Relationship Id="rId53" Type="http://schemas.openxmlformats.org/officeDocument/2006/relationships/hyperlink" Target="https://innovativegenomics-org.translate.goog/news/photosynthesis-climate-change-2023/?_x_tr_sl=en&amp;_x_tr_tl=ja&amp;_x_tr_hl=ja&amp;_x_tr_pto=wapp" TargetMode="External" /><Relationship Id="rId58" Type="http://schemas.openxmlformats.org/officeDocument/2006/relationships/hyperlink" Target="https://environment.ec.europa.eu/topics/soil-and-land_en" TargetMode="External" /><Relationship Id="rId74" Type="http://schemas.openxmlformats.org/officeDocument/2006/relationships/hyperlink" Target="https://www.agri-business-capital.com/lookingforfunding.html" TargetMode="External" /><Relationship Id="rId79" Type="http://schemas.openxmlformats.org/officeDocument/2006/relationships/hyperlink" Target="https://www.cdiglobal.com/en" TargetMode="External" /><Relationship Id="rId102" Type="http://schemas.openxmlformats.org/officeDocument/2006/relationships/hyperlink" Target="https://royalsociety.org/topics-policy/projects/climate-change-science-solutions/" TargetMode="External" /><Relationship Id="rId123" Type="http://schemas.openxmlformats.org/officeDocument/2006/relationships/printerSettings" Target="../printerSettings/printerSettings1.bin" /><Relationship Id="rId5" Type="http://schemas.openxmlformats.org/officeDocument/2006/relationships/hyperlink" Target="https://www.n2africa.org/" TargetMode="External" /><Relationship Id="rId61" Type="http://schemas.openxmlformats.org/officeDocument/2006/relationships/hyperlink" Target="https://globalgreen.org/advocates/" TargetMode="External" /><Relationship Id="rId82" Type="http://schemas.openxmlformats.org/officeDocument/2006/relationships/hyperlink" Target="https://appinventiv.com/blog/blockchain-in-agriculture-and-food-sector/amp/" TargetMode="External" /><Relationship Id="rId90" Type="http://schemas.openxmlformats.org/officeDocument/2006/relationships/hyperlink" Target="https://www.unccd.int/land-and-life/climate-change/overview" TargetMode="External" /><Relationship Id="rId95" Type="http://schemas.openxmlformats.org/officeDocument/2006/relationships/hyperlink" Target="https://regenerationinternational.org/2015/10/05/soil-carbon-restoration-can-biology-do-the-job/" TargetMode="External" /><Relationship Id="rId19" Type="http://schemas.openxmlformats.org/officeDocument/2006/relationships/hyperlink" Target="https://africasustainability.org/" TargetMode="External" /><Relationship Id="rId14" Type="http://schemas.openxmlformats.org/officeDocument/2006/relationships/hyperlink" Target="https://www.landolakesinc.com/" TargetMode="External" /><Relationship Id="rId22" Type="http://schemas.openxmlformats.org/officeDocument/2006/relationships/hyperlink" Target="https://www.weforum.org/agenda/2016/01/food-security-and-why-it-matters" TargetMode="External" /><Relationship Id="rId27" Type="http://schemas.openxmlformats.org/officeDocument/2006/relationships/hyperlink" Target="https://collabfund.com/" TargetMode="External" /><Relationship Id="rId30" Type="http://schemas.openxmlformats.org/officeDocument/2006/relationships/hyperlink" Target="https://agra.org/" TargetMode="External" /><Relationship Id="rId35" Type="http://schemas.openxmlformats.org/officeDocument/2006/relationships/hyperlink" Target="https://www.globalsustainablefuture.com/" TargetMode="External" /><Relationship Id="rId43" Type="http://schemas.openxmlformats.org/officeDocument/2006/relationships/hyperlink" Target="https://asm.org/Articles/2021/May/Unearthing-the-Soil-Microbiome,-Climate-Change,-Ca" TargetMode="External" /><Relationship Id="rId48" Type="http://schemas.openxmlformats.org/officeDocument/2006/relationships/hyperlink" Target="https://rodaleinstitute.org/about/board/" TargetMode="External" /><Relationship Id="rId56" Type="http://schemas.openxmlformats.org/officeDocument/2006/relationships/hyperlink" Target="https://www.takachar.com/" TargetMode="External" /><Relationship Id="rId64" Type="http://schemas.openxmlformats.org/officeDocument/2006/relationships/hyperlink" Target="https://www.mckinsey.com/industries/financial-services/our-insights/how-insurance-can-help-combat-climate-change" TargetMode="External" /><Relationship Id="rId69" Type="http://schemas.openxmlformats.org/officeDocument/2006/relationships/hyperlink" Target="https://ostromclimate.com/" TargetMode="External" /><Relationship Id="rId77" Type="http://schemas.openxmlformats.org/officeDocument/2006/relationships/hyperlink" Target="https://articles.sequoiacap.com/writing-a-business-plan" TargetMode="External" /><Relationship Id="rId100" Type="http://schemas.openxmlformats.org/officeDocument/2006/relationships/hyperlink" Target="https://sustainability.fb.com/" TargetMode="External" /><Relationship Id="rId105" Type="http://schemas.openxmlformats.org/officeDocument/2006/relationships/hyperlink" Target="https://sustainablebrands.com/read/waste-not/how-your-company-can-enact-the-1-solution-for-combating-climate-change?utm_source=pocket_mylist" TargetMode="External" /><Relationship Id="rId113" Type="http://schemas.openxmlformats.org/officeDocument/2006/relationships/hyperlink" Target="https://www.conservation.org/" TargetMode="External" /><Relationship Id="rId118" Type="http://schemas.openxmlformats.org/officeDocument/2006/relationships/hyperlink" Target="https://x.company/projects/mineral/" TargetMode="External" /><Relationship Id="rId8" Type="http://schemas.openxmlformats.org/officeDocument/2006/relationships/hyperlink" Target="https://verra.org/verra-inactivates-unfccc-cdm-rice-cultivation-methodology/" TargetMode="External" /><Relationship Id="rId51" Type="http://schemas.openxmlformats.org/officeDocument/2006/relationships/hyperlink" Target="https://www.earthworm.org/about-us" TargetMode="External" /><Relationship Id="rId72" Type="http://schemas.openxmlformats.org/officeDocument/2006/relationships/hyperlink" Target="https://calvertimpact.org/investing/portfolio/community-investment-note-portfolio" TargetMode="External" /><Relationship Id="rId80" Type="http://schemas.openxmlformats.org/officeDocument/2006/relationships/hyperlink" Target="https://www.robeco.com/jp-jp/" TargetMode="External" /><Relationship Id="rId85" Type="http://schemas.openxmlformats.org/officeDocument/2006/relationships/hyperlink" Target="https://mycity.com/video/Erwin-Jack-at-ATS-Video-1356" TargetMode="External" /><Relationship Id="rId93" Type="http://schemas.openxmlformats.org/officeDocument/2006/relationships/hyperlink" Target="https://northberkeleywealth.com/articles/soil-health-societal-health" TargetMode="External" /><Relationship Id="rId98" Type="http://schemas.openxmlformats.org/officeDocument/2006/relationships/hyperlink" Target="https://www.ipbes.net/" TargetMode="External" /><Relationship Id="rId121" Type="http://schemas.openxmlformats.org/officeDocument/2006/relationships/hyperlink" Target="https://www.replantcapital.com/about" TargetMode="External" /><Relationship Id="rId3" Type="http://schemas.openxmlformats.org/officeDocument/2006/relationships/hyperlink" Target="https://cdm.unfccc.int/index.html" TargetMode="External" /><Relationship Id="rId12" Type="http://schemas.openxmlformats.org/officeDocument/2006/relationships/hyperlink" Target="https://www.gafspfund.org/about" TargetMode="External" /><Relationship Id="rId17" Type="http://schemas.openxmlformats.org/officeDocument/2006/relationships/hyperlink" Target="https://www.agriinvestor.com/" TargetMode="External" /><Relationship Id="rId25" Type="http://schemas.openxmlformats.org/officeDocument/2006/relationships/hyperlink" Target="https://www.gfdrr.org/en/crp" TargetMode="External" /><Relationship Id="rId33" Type="http://schemas.openxmlformats.org/officeDocument/2006/relationships/hyperlink" Target="https://www.iita.org/" TargetMode="External" /><Relationship Id="rId38" Type="http://schemas.openxmlformats.org/officeDocument/2006/relationships/hyperlink" Target="https://www.eld-initiative.org/en/" TargetMode="External" /><Relationship Id="rId46" Type="http://schemas.openxmlformats.org/officeDocument/2006/relationships/hyperlink" Target="https://futureoffood.org/" TargetMode="External" /><Relationship Id="rId59" Type="http://schemas.openxmlformats.org/officeDocument/2006/relationships/hyperlink" Target="https://www.ffpj.org/blog/20200624" TargetMode="External" /><Relationship Id="rId67" Type="http://schemas.openxmlformats.org/officeDocument/2006/relationships/hyperlink" Target="https://www.isdb.org/projects-under-maintenance" TargetMode="External" /><Relationship Id="rId103" Type="http://schemas.openxmlformats.org/officeDocument/2006/relationships/hyperlink" Target="https://www.greenpeace.org.uk/challenges/climate-change/solutions-climate-change/" TargetMode="External" /><Relationship Id="rId108" Type="http://schemas.openxmlformats.org/officeDocument/2006/relationships/hyperlink" Target="https://www.ox.ac.uk/news/2021-05-13-nature-based-solutions-highly-effective-long-term-oxford-research" TargetMode="External" /><Relationship Id="rId116" Type="http://schemas.openxmlformats.org/officeDocument/2006/relationships/hyperlink" Target="https://www.iisd.org/board" TargetMode="External" /><Relationship Id="rId124" Type="http://schemas.openxmlformats.org/officeDocument/2006/relationships/table" Target="../tables/table1.xml" /><Relationship Id="rId20" Type="http://schemas.openxmlformats.org/officeDocument/2006/relationships/hyperlink" Target="https://breakthroughenergy.org/" TargetMode="External" /><Relationship Id="rId41" Type="http://schemas.openxmlformats.org/officeDocument/2006/relationships/hyperlink" Target="https://express.adobe.com/page/dsMq4QxD8PRDH/" TargetMode="External" /><Relationship Id="rId54" Type="http://schemas.openxmlformats.org/officeDocument/2006/relationships/hyperlink" Target="https://feldactiontracker.org/green-finance" TargetMode="External" /><Relationship Id="rId62" Type="http://schemas.openxmlformats.org/officeDocument/2006/relationships/hyperlink" Target="https://www.xprize.org/prizes/carbonremoval/articles/carbon-negative-conference-3-0-recap-innovations-across-air-land-rocks-and-oceans" TargetMode="External" /><Relationship Id="rId70" Type="http://schemas.openxmlformats.org/officeDocument/2006/relationships/hyperlink" Target="https://www.goodventures.org/" TargetMode="External" /><Relationship Id="rId75" Type="http://schemas.openxmlformats.org/officeDocument/2006/relationships/hyperlink" Target="https://www.ifad.org/en/abcfund" TargetMode="External" /><Relationship Id="rId83" Type="http://schemas.openxmlformats.org/officeDocument/2006/relationships/hyperlink" Target="https://rothschildfoundation.org.uk/" TargetMode="External" /><Relationship Id="rId88" Type="http://schemas.openxmlformats.org/officeDocument/2006/relationships/hyperlink" Target="https://www.4p1000.org/" TargetMode="External" /><Relationship Id="rId91" Type="http://schemas.openxmlformats.org/officeDocument/2006/relationships/hyperlink" Target="https://techcrunch.com/2021/03/11/ag-industry-is-the-next-great-ally-in-fight-against-climate-change/" TargetMode="External" /><Relationship Id="rId96" Type="http://schemas.openxmlformats.org/officeDocument/2006/relationships/hyperlink" Target="https://www.patagonia.jp/regenerative-organic/" TargetMode="External" /><Relationship Id="rId111" Type="http://schemas.openxmlformats.org/officeDocument/2006/relationships/hyperlink" Target="https://www.pnas.org/doi/10.1073/pnas.1710465114" TargetMode="External" /><Relationship Id="rId1" Type="http://schemas.openxmlformats.org/officeDocument/2006/relationships/hyperlink" Target="https://blogs.cisco.com/" TargetMode="External" /><Relationship Id="rId6" Type="http://schemas.openxmlformats.org/officeDocument/2006/relationships/hyperlink" Target="https://gca.org/reports/sta22/" TargetMode="External" /><Relationship Id="rId15" Type="http://schemas.openxmlformats.org/officeDocument/2006/relationships/hyperlink" Target="https://www.unpri.org/thematic-and-impact-investing/impact-investing-market-map-sustainable-agriculture/3542.article" TargetMode="External" /><Relationship Id="rId23" Type="http://schemas.openxmlformats.org/officeDocument/2006/relationships/hyperlink" Target="https://www.mulagofoundation.org/how-we-fund" TargetMode="External" /><Relationship Id="rId28" Type="http://schemas.openxmlformats.org/officeDocument/2006/relationships/hyperlink" Target="https://trueventures.com/" TargetMode="External" /><Relationship Id="rId36" Type="http://schemas.openxmlformats.org/officeDocument/2006/relationships/hyperlink" Target="https://www.andgreen.fund/" TargetMode="External" /><Relationship Id="rId49" Type="http://schemas.openxmlformats.org/officeDocument/2006/relationships/hyperlink" Target="https://www.nrcs.usda.gov/conservation-basics/natural-resource-concerns/soils/soil-health" TargetMode="External" /><Relationship Id="rId57" Type="http://schemas.openxmlformats.org/officeDocument/2006/relationships/hyperlink" Target="https://biotasoil.org/" TargetMode="External" /><Relationship Id="rId106" Type="http://schemas.openxmlformats.org/officeDocument/2006/relationships/hyperlink" Target="https://www.aimforclimate.org/" TargetMode="External" /><Relationship Id="rId114" Type="http://schemas.openxmlformats.org/officeDocument/2006/relationships/hyperlink" Target="https://www.wbcsd.org/" TargetMode="External" /><Relationship Id="rId119" Type="http://schemas.openxmlformats.org/officeDocument/2006/relationships/hyperlink" Target="https://scalingclimatesolutions.org/resources/carbon-credit-basics-for-business/" TargetMode="External" /><Relationship Id="rId10" Type="http://schemas.openxmlformats.org/officeDocument/2006/relationships/hyperlink" Target="https://www.cargill.com/history-story/ja/JA_ZAMBIAN-FARMERS.jsp" TargetMode="External" /><Relationship Id="rId31" Type="http://schemas.openxmlformats.org/officeDocument/2006/relationships/hyperlink" Target="https://faraafrica.org/" TargetMode="External" /><Relationship Id="rId44" Type="http://schemas.openxmlformats.org/officeDocument/2006/relationships/hyperlink" Target="https://afsafrica.org/about-us/" TargetMode="External" /><Relationship Id="rId52" Type="http://schemas.openxmlformats.org/officeDocument/2006/relationships/hyperlink" Target="https://natcapsolutions.org/team/" TargetMode="External" /><Relationship Id="rId60" Type="http://schemas.openxmlformats.org/officeDocument/2006/relationships/hyperlink" Target="https://www.conservation.org/japan/initiatives/natural-capital" TargetMode="External" /><Relationship Id="rId65" Type="http://schemas.openxmlformats.org/officeDocument/2006/relationships/hyperlink" Target="https://www.cdp.net/en/guidance/how-cdp-is-aligned-to-the-tcfd" TargetMode="External" /><Relationship Id="rId73" Type="http://schemas.openxmlformats.org/officeDocument/2006/relationships/hyperlink" Target="https://www.sequoiacap.com/" TargetMode="External" /><Relationship Id="rId78" Type="http://schemas.openxmlformats.org/officeDocument/2006/relationships/hyperlink" Target="https://thegiin.org/" TargetMode="External" /><Relationship Id="rId81" Type="http://schemas.openxmlformats.org/officeDocument/2006/relationships/hyperlink" Target="https://fnbdubai.com/" TargetMode="External" /><Relationship Id="rId86" Type="http://schemas.openxmlformats.org/officeDocument/2006/relationships/hyperlink" Target="https://www.wbcsd.org/Programs/Food-and-Nature/Food-Land-Use/Resources/CEO-Guide-to-Food-System-Transformation" TargetMode="External" /><Relationship Id="rId94" Type="http://schemas.openxmlformats.org/officeDocument/2006/relationships/hyperlink" Target="https://sarep.ucdavis.edu/sustainable-ag" TargetMode="External" /><Relationship Id="rId99" Type="http://schemas.openxmlformats.org/officeDocument/2006/relationships/hyperlink" Target="https://sustainability.google/" TargetMode="External" /><Relationship Id="rId101" Type="http://schemas.openxmlformats.org/officeDocument/2006/relationships/hyperlink" Target="https://www.c2es.org/" TargetMode="External" /><Relationship Id="rId122" Type="http://schemas.openxmlformats.org/officeDocument/2006/relationships/hyperlink" Target="https://www.marsh.com/jp/ja/about/media/global-risks-2024-environmental-threats-intensify.html" TargetMode="External" /><Relationship Id="rId4" Type="http://schemas.openxmlformats.org/officeDocument/2006/relationships/hyperlink" Target="https://www.wacaprogram.org/" TargetMode="External" /><Relationship Id="rId9" Type="http://schemas.openxmlformats.org/officeDocument/2006/relationships/hyperlink" Target="https://cquestcapital.com/impact/" TargetMode="External" /><Relationship Id="rId13" Type="http://schemas.openxmlformats.org/officeDocument/2006/relationships/hyperlink" Target="https://www.farmerp.com/farmerp-fortifies-plantation-management-for-indias-second-largest-phosphatic-fertilizer-player" TargetMode="External" /><Relationship Id="rId18" Type="http://schemas.openxmlformats.org/officeDocument/2006/relationships/hyperlink" Target="https://www.bcg.com/ja-jp/featured-insights/sustainability-pillars/transforming-food-systems" TargetMode="External" /><Relationship Id="rId39" Type="http://schemas.openxmlformats.org/officeDocument/2006/relationships/hyperlink" Target="https://www.greentech.earth/what-is-greentech" TargetMode="External" /><Relationship Id="rId109" Type="http://schemas.openxmlformats.org/officeDocument/2006/relationships/hyperlink" Target="https://sustainability.aboutamazon.com/environment/nature-based-solutions" TargetMode="External" /><Relationship Id="rId34" Type="http://schemas.openxmlformats.org/officeDocument/2006/relationships/hyperlink" Target="https://www.ilri.org/" TargetMode="External" /><Relationship Id="rId50" Type="http://schemas.openxmlformats.org/officeDocument/2006/relationships/hyperlink" Target="https://blogs.nicholas.duke.edu/citizenscientist/" TargetMode="External" /><Relationship Id="rId55" Type="http://schemas.openxmlformats.org/officeDocument/2006/relationships/hyperlink" Target="https://climatefocus.com/" TargetMode="External" /><Relationship Id="rId76" Type="http://schemas.openxmlformats.org/officeDocument/2006/relationships/hyperlink" Target="https://www.dbl.vc/people/nancy-pfund/" TargetMode="External" /><Relationship Id="rId97" Type="http://schemas.openxmlformats.org/officeDocument/2006/relationships/hyperlink" Target="https://www.generalmills.com/how-we-make-it/healthier-planet/environmental-impact/regenerative-agriculture" TargetMode="External" /><Relationship Id="rId104" Type="http://schemas.openxmlformats.org/officeDocument/2006/relationships/hyperlink" Target="https://www.nrdc.org/bio/zak-smith/five-natural-climate-solutions-mitigate-climate-change" TargetMode="External" /><Relationship Id="rId120" Type="http://schemas.openxmlformats.org/officeDocument/2006/relationships/hyperlink" Target="https://www.alphabet.com/en-ww" TargetMode="External" /><Relationship Id="rId7" Type="http://schemas.openxmlformats.org/officeDocument/2006/relationships/hyperlink" Target="https://endeavor.org/" TargetMode="External" /><Relationship Id="rId71" Type="http://schemas.openxmlformats.org/officeDocument/2006/relationships/hyperlink" Target="https://growthcapadvisory.com/about/" TargetMode="External" /><Relationship Id="rId92" Type="http://schemas.openxmlformats.org/officeDocument/2006/relationships/hyperlink" Target="https://www.terramera.com/blog/climate-change-at-world-economic-forum" TargetMode="External" /><Relationship Id="rId2" Type="http://schemas.openxmlformats.org/officeDocument/2006/relationships/hyperlink" Target="https://www.goldmansachs.com/our-commitments/sustainability/sustainable-finance/index.html" TargetMode="External" /><Relationship Id="rId29" Type="http://schemas.openxmlformats.org/officeDocument/2006/relationships/hyperlink" Target="https://www.climatefarmers.org/" TargetMode="External" /><Relationship Id="rId24" Type="http://schemas.openxmlformats.org/officeDocument/2006/relationships/hyperlink" Target="https://www.clintonfoundation.org/" TargetMode="External" /><Relationship Id="rId40" Type="http://schemas.openxmlformats.org/officeDocument/2006/relationships/hyperlink" Target="https://www.unep.org/news-and-stories/press-release/doubling-finance-flows-nature-based-solutions-2025-deal-global" TargetMode="External" /><Relationship Id="rId45" Type="http://schemas.openxmlformats.org/officeDocument/2006/relationships/hyperlink" Target="https://viacampesina.org/en/la-via-campesina-and-the-need-for-translocal-peasant-solidarity/" TargetMode="External" /><Relationship Id="rId66" Type="http://schemas.openxmlformats.org/officeDocument/2006/relationships/hyperlink" Target="https://nmsconsulting.com/1055/the-move-to-food-investing-in-sustainable-agriculture/" TargetMode="External" /><Relationship Id="rId87" Type="http://schemas.openxmlformats.org/officeDocument/2006/relationships/hyperlink" Target="https://drawdown.org/" TargetMode="External" /><Relationship Id="rId110" Type="http://schemas.openxmlformats.org/officeDocument/2006/relationships/hyperlink" Target="https://www.naturebasedsolutionsinitiative.org/" TargetMode="External" /><Relationship Id="rId115" Type="http://schemas.openxmlformats.org/officeDocument/2006/relationships/hyperlink" Target="https://www.cefc.com.au/media/media-release/downforce-technologies-draws-investor-support-with-innovative-soil-carbon-solution/" TargetMode="External" /></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 /><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 /><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 /><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 /><Relationship Id="rId1" Type="http://schemas.openxmlformats.org/officeDocument/2006/relationships/printerSettings" Target="../printerSettings/printerSettings6.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4" tint="-0.249977111117893"/>
    <pageSetUpPr autoPageBreaks="0" fitToPage="1"/>
  </sheetPr>
  <dimension ref="B1:H217"/>
  <sheetViews>
    <sheetView showGridLines="0" tabSelected="1" topLeftCell="A137" zoomScaleNormal="100" workbookViewId="0">
      <selection activeCell="E131" sqref="E131"/>
    </sheetView>
  </sheetViews>
  <sheetFormatPr defaultColWidth="8.94921875" defaultRowHeight="30" customHeight="1" x14ac:dyDescent="0.15"/>
  <cols>
    <col min="1" max="1" width="2.57421875" style="2" customWidth="1"/>
    <col min="2" max="2" width="22.5546875" style="2" customWidth="1"/>
    <col min="3" max="3" width="21.69921875" style="2" customWidth="1"/>
    <col min="4" max="4" width="17.28515625" style="2" customWidth="1"/>
    <col min="5" max="5" width="31.87109375" style="2" customWidth="1"/>
    <col min="6" max="6" width="27.703125" style="2" customWidth="1"/>
    <col min="7" max="7" width="23.78125" style="2" customWidth="1"/>
    <col min="8" max="8" width="37.390625" style="2" customWidth="1"/>
    <col min="9" max="9" width="2.57421875" style="2" customWidth="1"/>
    <col min="10" max="16384" width="8.94921875" style="2"/>
  </cols>
  <sheetData>
    <row r="1" spans="2:8" ht="33.75" customHeight="1" x14ac:dyDescent="0.25">
      <c r="B1" s="1" t="str">
        <f>会社名</f>
        <v>Organization Name</v>
      </c>
      <c r="C1" s="1"/>
      <c r="D1" s="1"/>
      <c r="E1" s="1"/>
      <c r="F1" s="1"/>
    </row>
    <row r="2" spans="2:8" s="4" customFormat="1" ht="47.25" customHeight="1" x14ac:dyDescent="0.15">
      <c r="B2" s="3" t="s">
        <v>286</v>
      </c>
      <c r="C2" s="3"/>
      <c r="D2" s="3"/>
      <c r="E2" s="3"/>
      <c r="F2" s="3"/>
      <c r="G2" s="3"/>
      <c r="H2" s="3"/>
    </row>
    <row r="3" spans="2:8" ht="30" customHeight="1" x14ac:dyDescent="0.15">
      <c r="B3" s="12" t="s">
        <v>282</v>
      </c>
      <c r="C3" s="2" t="s">
        <v>283</v>
      </c>
      <c r="D3" s="2" t="s">
        <v>287</v>
      </c>
      <c r="E3" s="2" t="s">
        <v>26</v>
      </c>
      <c r="F3" s="2" t="s">
        <v>288</v>
      </c>
      <c r="G3" s="2" t="s">
        <v>289</v>
      </c>
      <c r="H3" s="2" t="s">
        <v>290</v>
      </c>
    </row>
    <row r="4" spans="2:8" ht="30" customHeight="1" x14ac:dyDescent="0.15">
      <c r="B4" s="12" t="s">
        <v>106</v>
      </c>
      <c r="E4" s="14" t="s">
        <v>105</v>
      </c>
    </row>
    <row r="5" spans="2:8" ht="30" customHeight="1" x14ac:dyDescent="0.15">
      <c r="B5" s="12" t="s">
        <v>214</v>
      </c>
      <c r="E5" s="14" t="s">
        <v>213</v>
      </c>
    </row>
    <row r="6" spans="2:8" ht="30" customHeight="1" x14ac:dyDescent="0.15">
      <c r="B6" s="12" t="s">
        <v>185</v>
      </c>
      <c r="E6" s="14" t="s">
        <v>184</v>
      </c>
    </row>
    <row r="7" spans="2:8" ht="30" customHeight="1" x14ac:dyDescent="0.15">
      <c r="B7" s="12" t="s">
        <v>122</v>
      </c>
      <c r="D7" s="2" t="s">
        <v>37</v>
      </c>
      <c r="E7" s="14" t="s">
        <v>121</v>
      </c>
    </row>
    <row r="8" spans="2:8" ht="30" customHeight="1" x14ac:dyDescent="0.15">
      <c r="B8" s="12" t="s">
        <v>94</v>
      </c>
      <c r="D8" s="2" t="s">
        <v>37</v>
      </c>
      <c r="E8" s="14" t="s">
        <v>93</v>
      </c>
    </row>
    <row r="9" spans="2:8" ht="30" customHeight="1" x14ac:dyDescent="0.15">
      <c r="B9" s="12" t="s">
        <v>67</v>
      </c>
      <c r="E9" s="14" t="s">
        <v>66</v>
      </c>
    </row>
    <row r="10" spans="2:8" ht="30" customHeight="1" x14ac:dyDescent="0.15">
      <c r="B10" s="12" t="s">
        <v>251</v>
      </c>
      <c r="E10" s="14" t="s">
        <v>250</v>
      </c>
    </row>
    <row r="11" spans="2:8" ht="30" customHeight="1" x14ac:dyDescent="0.15">
      <c r="B11" s="12" t="s">
        <v>278</v>
      </c>
      <c r="E11" s="14" t="s">
        <v>277</v>
      </c>
    </row>
    <row r="12" spans="2:8" ht="30" customHeight="1" x14ac:dyDescent="0.15">
      <c r="B12" s="12" t="s">
        <v>257</v>
      </c>
      <c r="E12" s="14" t="s">
        <v>256</v>
      </c>
    </row>
    <row r="13" spans="2:8" ht="30" customHeight="1" x14ac:dyDescent="0.15">
      <c r="B13" s="12" t="s">
        <v>120</v>
      </c>
      <c r="E13" s="14" t="s">
        <v>119</v>
      </c>
    </row>
    <row r="14" spans="2:8" ht="30" customHeight="1" x14ac:dyDescent="0.15">
      <c r="B14" s="12" t="s">
        <v>201</v>
      </c>
      <c r="C14" s="2" t="s">
        <v>202</v>
      </c>
      <c r="E14" s="14" t="s">
        <v>200</v>
      </c>
    </row>
    <row r="15" spans="2:8" ht="30" customHeight="1" x14ac:dyDescent="0.15">
      <c r="B15" s="12" t="s">
        <v>208</v>
      </c>
      <c r="E15" s="14" t="s">
        <v>207</v>
      </c>
    </row>
    <row r="16" spans="2:8" ht="30" customHeight="1" x14ac:dyDescent="0.15">
      <c r="B16" s="12" t="s">
        <v>276</v>
      </c>
      <c r="E16" s="14" t="s">
        <v>275</v>
      </c>
    </row>
    <row r="17" spans="2:6" ht="30" customHeight="1" x14ac:dyDescent="0.15">
      <c r="B17" s="12" t="s">
        <v>69</v>
      </c>
      <c r="C17" s="2" t="s">
        <v>70</v>
      </c>
      <c r="E17" s="14" t="s">
        <v>68</v>
      </c>
    </row>
    <row r="18" spans="2:6" ht="30" customHeight="1" x14ac:dyDescent="0.15">
      <c r="B18" s="12" t="s">
        <v>149</v>
      </c>
      <c r="E18" s="14" t="s">
        <v>148</v>
      </c>
    </row>
    <row r="19" spans="2:6" ht="30" customHeight="1" x14ac:dyDescent="0.15">
      <c r="B19" s="12" t="s">
        <v>74</v>
      </c>
      <c r="E19" s="14" t="s">
        <v>73</v>
      </c>
    </row>
    <row r="20" spans="2:6" ht="30" customHeight="1" x14ac:dyDescent="0.15">
      <c r="B20" s="12" t="s">
        <v>52</v>
      </c>
      <c r="C20" s="2" t="s">
        <v>70</v>
      </c>
      <c r="E20" s="14" t="s">
        <v>51</v>
      </c>
    </row>
    <row r="21" spans="2:6" ht="30" customHeight="1" x14ac:dyDescent="0.15">
      <c r="B21" s="12" t="s">
        <v>241</v>
      </c>
      <c r="E21" s="14" t="s">
        <v>240</v>
      </c>
    </row>
    <row r="22" spans="2:6" ht="30" customHeight="1" x14ac:dyDescent="0.15">
      <c r="B22" s="12" t="s">
        <v>181</v>
      </c>
      <c r="E22" s="14" t="s">
        <v>180</v>
      </c>
    </row>
    <row r="23" spans="2:6" ht="30" customHeight="1" x14ac:dyDescent="0.15">
      <c r="B23" s="12" t="s">
        <v>50</v>
      </c>
      <c r="D23" s="2" t="s">
        <v>29</v>
      </c>
      <c r="E23" s="14" t="s">
        <v>49</v>
      </c>
    </row>
    <row r="24" spans="2:6" ht="30" customHeight="1" x14ac:dyDescent="0.15">
      <c r="B24" s="12" t="s">
        <v>195</v>
      </c>
      <c r="E24" s="14" t="s">
        <v>194</v>
      </c>
    </row>
    <row r="25" spans="2:6" ht="30" customHeight="1" x14ac:dyDescent="0.15">
      <c r="B25" s="12" t="s">
        <v>167</v>
      </c>
      <c r="E25" s="14" t="s">
        <v>166</v>
      </c>
    </row>
    <row r="26" spans="2:6" ht="30" customHeight="1" x14ac:dyDescent="0.15">
      <c r="B26" s="12" t="s">
        <v>268</v>
      </c>
      <c r="E26" s="14" t="s">
        <v>267</v>
      </c>
    </row>
    <row r="27" spans="2:6" ht="30" customHeight="1" x14ac:dyDescent="0.15">
      <c r="B27" s="12" t="s">
        <v>98</v>
      </c>
      <c r="D27" s="2" t="s">
        <v>37</v>
      </c>
      <c r="E27" s="14" t="s">
        <v>97</v>
      </c>
    </row>
    <row r="28" spans="2:6" ht="30" customHeight="1" x14ac:dyDescent="0.15">
      <c r="B28" s="12" t="s">
        <v>156</v>
      </c>
      <c r="E28" s="14" t="s">
        <v>155</v>
      </c>
    </row>
    <row r="29" spans="2:6" ht="30" customHeight="1" x14ac:dyDescent="0.15">
      <c r="B29" s="12" t="s">
        <v>28</v>
      </c>
      <c r="D29" s="2" t="s">
        <v>29</v>
      </c>
      <c r="E29" s="14" t="s">
        <v>27</v>
      </c>
      <c r="F29" s="2" t="s">
        <v>30</v>
      </c>
    </row>
    <row r="30" spans="2:6" ht="30" customHeight="1" x14ac:dyDescent="0.15">
      <c r="B30" s="12" t="s">
        <v>92</v>
      </c>
      <c r="E30" s="14" t="s">
        <v>91</v>
      </c>
    </row>
    <row r="31" spans="2:6" ht="30" customHeight="1" x14ac:dyDescent="0.15">
      <c r="B31" s="12" t="s">
        <v>145</v>
      </c>
      <c r="E31" s="14" t="s">
        <v>144</v>
      </c>
    </row>
    <row r="32" spans="2:6" ht="30" customHeight="1" x14ac:dyDescent="0.15">
      <c r="B32" s="12" t="s">
        <v>82</v>
      </c>
      <c r="E32" s="14" t="s">
        <v>81</v>
      </c>
    </row>
    <row r="33" spans="2:6" ht="30" customHeight="1" x14ac:dyDescent="0.15">
      <c r="B33" s="12" t="s">
        <v>88</v>
      </c>
      <c r="E33" s="14" t="s">
        <v>87</v>
      </c>
    </row>
    <row r="34" spans="2:6" ht="30" customHeight="1" x14ac:dyDescent="0.15">
      <c r="B34" s="12" t="s">
        <v>265</v>
      </c>
      <c r="E34" s="14" t="s">
        <v>264</v>
      </c>
    </row>
    <row r="35" spans="2:6" ht="30" customHeight="1" x14ac:dyDescent="0.15">
      <c r="B35" s="12" t="s">
        <v>48</v>
      </c>
      <c r="E35" s="14" t="s">
        <v>47</v>
      </c>
    </row>
    <row r="36" spans="2:6" ht="30" customHeight="1" x14ac:dyDescent="0.15">
      <c r="B36" s="12" t="s">
        <v>212</v>
      </c>
      <c r="E36" s="14" t="s">
        <v>211</v>
      </c>
    </row>
    <row r="37" spans="2:6" ht="30" customHeight="1" x14ac:dyDescent="0.15">
      <c r="B37" s="12" t="s">
        <v>136</v>
      </c>
      <c r="E37" s="14" t="s">
        <v>135</v>
      </c>
    </row>
    <row r="38" spans="2:6" ht="30" customHeight="1" x14ac:dyDescent="0.15">
      <c r="B38" s="12" t="s">
        <v>110</v>
      </c>
      <c r="E38" s="14" t="s">
        <v>109</v>
      </c>
    </row>
    <row r="39" spans="2:6" ht="30" customHeight="1" x14ac:dyDescent="0.15">
      <c r="B39" s="12" t="s">
        <v>263</v>
      </c>
      <c r="E39" s="14" t="s">
        <v>262</v>
      </c>
    </row>
    <row r="40" spans="2:6" ht="30" customHeight="1" x14ac:dyDescent="0.15">
      <c r="B40" s="12" t="s">
        <v>43</v>
      </c>
      <c r="D40" s="2" t="s">
        <v>29</v>
      </c>
      <c r="E40" s="14" t="s">
        <v>42</v>
      </c>
      <c r="F40" s="2" t="s">
        <v>44</v>
      </c>
    </row>
    <row r="41" spans="2:6" ht="30" customHeight="1" x14ac:dyDescent="0.15">
      <c r="B41" s="12" t="s">
        <v>151</v>
      </c>
      <c r="E41" s="14" t="s">
        <v>150</v>
      </c>
    </row>
    <row r="42" spans="2:6" ht="30" customHeight="1" x14ac:dyDescent="0.15">
      <c r="B42" s="12" t="s">
        <v>272</v>
      </c>
      <c r="E42" s="14" t="s">
        <v>271</v>
      </c>
    </row>
    <row r="43" spans="2:6" ht="30" customHeight="1" x14ac:dyDescent="0.15">
      <c r="B43" s="12" t="s">
        <v>239</v>
      </c>
      <c r="E43" s="14" t="s">
        <v>238</v>
      </c>
    </row>
    <row r="44" spans="2:6" ht="30" customHeight="1" x14ac:dyDescent="0.15">
      <c r="B44" s="12" t="s">
        <v>108</v>
      </c>
      <c r="E44" s="14" t="s">
        <v>107</v>
      </c>
    </row>
    <row r="45" spans="2:6" ht="30" customHeight="1" x14ac:dyDescent="0.15">
      <c r="B45" s="12" t="s">
        <v>96</v>
      </c>
      <c r="D45" s="2" t="s">
        <v>37</v>
      </c>
      <c r="E45" s="14" t="s">
        <v>95</v>
      </c>
    </row>
    <row r="46" spans="2:6" ht="30" customHeight="1" x14ac:dyDescent="0.15">
      <c r="B46" s="12" t="s">
        <v>56</v>
      </c>
      <c r="C46" s="2" t="s">
        <v>57</v>
      </c>
      <c r="E46" s="14" t="s">
        <v>55</v>
      </c>
    </row>
    <row r="47" spans="2:6" ht="30" customHeight="1" x14ac:dyDescent="0.15">
      <c r="B47" s="12" t="s">
        <v>143</v>
      </c>
      <c r="E47" s="14" t="s">
        <v>142</v>
      </c>
    </row>
    <row r="48" spans="2:6" ht="30" customHeight="1" x14ac:dyDescent="0.15">
      <c r="B48" s="12" t="s">
        <v>153</v>
      </c>
      <c r="E48" s="14" t="s">
        <v>152</v>
      </c>
    </row>
    <row r="49" spans="2:5" ht="30" customHeight="1" x14ac:dyDescent="0.15">
      <c r="B49" s="12" t="s">
        <v>54</v>
      </c>
      <c r="E49" s="14" t="s">
        <v>53</v>
      </c>
    </row>
    <row r="50" spans="2:5" ht="30" customHeight="1" x14ac:dyDescent="0.15">
      <c r="B50" s="12" t="s">
        <v>179</v>
      </c>
      <c r="E50" s="14" t="s">
        <v>178</v>
      </c>
    </row>
    <row r="51" spans="2:5" ht="30" customHeight="1" x14ac:dyDescent="0.15">
      <c r="B51" s="12" t="s">
        <v>154</v>
      </c>
      <c r="D51" s="2" t="s">
        <v>37</v>
      </c>
      <c r="E51" s="14" t="s">
        <v>41</v>
      </c>
    </row>
    <row r="52" spans="2:5" ht="30" customHeight="1" x14ac:dyDescent="0.15">
      <c r="B52" s="12" t="s">
        <v>233</v>
      </c>
      <c r="E52" s="14" t="s">
        <v>232</v>
      </c>
    </row>
    <row r="53" spans="2:5" ht="30" customHeight="1" x14ac:dyDescent="0.15">
      <c r="B53" s="12" t="s">
        <v>84</v>
      </c>
      <c r="E53" s="14" t="s">
        <v>83</v>
      </c>
    </row>
    <row r="54" spans="2:5" ht="30" customHeight="1" x14ac:dyDescent="0.15">
      <c r="B54" s="12" t="s">
        <v>193</v>
      </c>
      <c r="E54" s="14" t="s">
        <v>192</v>
      </c>
    </row>
    <row r="55" spans="2:5" ht="30" customHeight="1" x14ac:dyDescent="0.15">
      <c r="B55" s="12" t="s">
        <v>126</v>
      </c>
      <c r="E55" s="14" t="s">
        <v>125</v>
      </c>
    </row>
    <row r="56" spans="2:5" ht="30" customHeight="1" x14ac:dyDescent="0.15">
      <c r="B56" s="12" t="s">
        <v>158</v>
      </c>
      <c r="E56" s="14" t="s">
        <v>157</v>
      </c>
    </row>
    <row r="57" spans="2:5" ht="30" customHeight="1" x14ac:dyDescent="0.15">
      <c r="B57" s="12" t="s">
        <v>32</v>
      </c>
      <c r="D57" s="2" t="s">
        <v>29</v>
      </c>
      <c r="E57" s="14" t="s">
        <v>31</v>
      </c>
    </row>
    <row r="58" spans="2:5" ht="30" customHeight="1" x14ac:dyDescent="0.15">
      <c r="B58" s="12" t="s">
        <v>177</v>
      </c>
      <c r="E58" s="14" t="s">
        <v>176</v>
      </c>
    </row>
    <row r="59" spans="2:5" ht="30" customHeight="1" x14ac:dyDescent="0.15">
      <c r="B59" s="12" t="s">
        <v>237</v>
      </c>
      <c r="E59" s="14" t="s">
        <v>236</v>
      </c>
    </row>
    <row r="60" spans="2:5" ht="30" customHeight="1" x14ac:dyDescent="0.15">
      <c r="B60" s="12" t="s">
        <v>112</v>
      </c>
      <c r="E60" s="14" t="s">
        <v>111</v>
      </c>
    </row>
    <row r="61" spans="2:5" ht="30" customHeight="1" x14ac:dyDescent="0.15">
      <c r="B61" s="12" t="s">
        <v>245</v>
      </c>
      <c r="E61" s="14" t="s">
        <v>244</v>
      </c>
    </row>
    <row r="62" spans="2:5" ht="30" customHeight="1" x14ac:dyDescent="0.15">
      <c r="B62" s="12" t="s">
        <v>104</v>
      </c>
      <c r="E62" s="14" t="s">
        <v>103</v>
      </c>
    </row>
    <row r="63" spans="2:5" ht="30" customHeight="1" x14ac:dyDescent="0.15">
      <c r="B63" s="12" t="s">
        <v>187</v>
      </c>
      <c r="E63" s="14" t="s">
        <v>186</v>
      </c>
    </row>
    <row r="64" spans="2:5" ht="30" customHeight="1" x14ac:dyDescent="0.15">
      <c r="B64" s="12" t="s">
        <v>65</v>
      </c>
      <c r="E64" s="14" t="s">
        <v>64</v>
      </c>
    </row>
    <row r="65" spans="2:6" ht="30" customHeight="1" x14ac:dyDescent="0.15">
      <c r="B65" s="12" t="s">
        <v>270</v>
      </c>
      <c r="E65" s="14" t="s">
        <v>269</v>
      </c>
    </row>
    <row r="66" spans="2:6" ht="30" customHeight="1" x14ac:dyDescent="0.15">
      <c r="B66" s="12" t="s">
        <v>100</v>
      </c>
      <c r="D66" s="2" t="s">
        <v>37</v>
      </c>
      <c r="E66" s="14" t="s">
        <v>99</v>
      </c>
    </row>
    <row r="67" spans="2:6" ht="30" customHeight="1" x14ac:dyDescent="0.15">
      <c r="B67" s="12" t="s">
        <v>102</v>
      </c>
      <c r="D67" s="2" t="s">
        <v>37</v>
      </c>
      <c r="E67" s="14" t="s">
        <v>101</v>
      </c>
    </row>
    <row r="68" spans="2:6" ht="30" customHeight="1" x14ac:dyDescent="0.15">
      <c r="B68" s="12" t="s">
        <v>141</v>
      </c>
      <c r="E68" s="14" t="s">
        <v>140</v>
      </c>
    </row>
    <row r="69" spans="2:6" ht="30" customHeight="1" x14ac:dyDescent="0.15">
      <c r="B69" s="12" t="s">
        <v>235</v>
      </c>
      <c r="E69" s="14" t="s">
        <v>234</v>
      </c>
    </row>
    <row r="70" spans="2:6" ht="30" customHeight="1" x14ac:dyDescent="0.15">
      <c r="B70" s="12" t="s">
        <v>171</v>
      </c>
      <c r="E70" s="14" t="s">
        <v>170</v>
      </c>
    </row>
    <row r="71" spans="2:6" ht="30" customHeight="1" x14ac:dyDescent="0.15">
      <c r="B71" s="12" t="s">
        <v>206</v>
      </c>
      <c r="E71" s="14" t="s">
        <v>205</v>
      </c>
    </row>
    <row r="72" spans="2:6" ht="30" customHeight="1" x14ac:dyDescent="0.15">
      <c r="B72" s="12" t="s">
        <v>124</v>
      </c>
      <c r="E72" s="14" t="s">
        <v>123</v>
      </c>
    </row>
    <row r="73" spans="2:6" ht="30" customHeight="1" x14ac:dyDescent="0.15">
      <c r="B73" s="12" t="s">
        <v>59</v>
      </c>
      <c r="C73" s="2" t="s">
        <v>60</v>
      </c>
      <c r="E73" s="14" t="s">
        <v>58</v>
      </c>
    </row>
    <row r="74" spans="2:6" ht="30" customHeight="1" x14ac:dyDescent="0.15">
      <c r="B74" s="12" t="s">
        <v>165</v>
      </c>
      <c r="E74" s="14" t="s">
        <v>164</v>
      </c>
    </row>
    <row r="75" spans="2:6" ht="30" customHeight="1" x14ac:dyDescent="0.15">
      <c r="B75" s="12" t="s">
        <v>80</v>
      </c>
      <c r="E75" s="14" t="s">
        <v>79</v>
      </c>
    </row>
    <row r="76" spans="2:6" ht="30" customHeight="1" x14ac:dyDescent="0.15">
      <c r="B76" s="12" t="s">
        <v>40</v>
      </c>
      <c r="D76" s="2" t="s">
        <v>37</v>
      </c>
      <c r="E76" s="14" t="s">
        <v>39</v>
      </c>
    </row>
    <row r="77" spans="2:6" ht="30" customHeight="1" x14ac:dyDescent="0.15">
      <c r="B77" s="12" t="s">
        <v>189</v>
      </c>
      <c r="E77" s="14" t="s">
        <v>188</v>
      </c>
    </row>
    <row r="78" spans="2:6" ht="30" customHeight="1" x14ac:dyDescent="0.15">
      <c r="B78" s="12" t="s">
        <v>138</v>
      </c>
      <c r="E78" s="14" t="s">
        <v>137</v>
      </c>
      <c r="F78" s="2" t="s">
        <v>139</v>
      </c>
    </row>
    <row r="79" spans="2:6" ht="30" customHeight="1" x14ac:dyDescent="0.15">
      <c r="B79" s="12" t="s">
        <v>259</v>
      </c>
      <c r="E79" s="14" t="s">
        <v>258</v>
      </c>
    </row>
    <row r="80" spans="2:6" ht="30" customHeight="1" x14ac:dyDescent="0.15">
      <c r="B80" s="12" t="s">
        <v>118</v>
      </c>
      <c r="E80" s="14" t="s">
        <v>117</v>
      </c>
    </row>
    <row r="81" spans="2:6" ht="30" customHeight="1" x14ac:dyDescent="0.15">
      <c r="B81" s="12" t="s">
        <v>253</v>
      </c>
      <c r="E81" s="14" t="s">
        <v>252</v>
      </c>
    </row>
    <row r="82" spans="2:6" ht="30" customHeight="1" x14ac:dyDescent="0.15">
      <c r="B82" s="12" t="s">
        <v>134</v>
      </c>
      <c r="E82" s="14" t="s">
        <v>133</v>
      </c>
    </row>
    <row r="83" spans="2:6" ht="30" customHeight="1" x14ac:dyDescent="0.15">
      <c r="B83" s="12" t="s">
        <v>169</v>
      </c>
      <c r="E83" s="14" t="s">
        <v>168</v>
      </c>
    </row>
    <row r="84" spans="2:6" ht="30" customHeight="1" x14ac:dyDescent="0.15">
      <c r="B84" s="12" t="s">
        <v>225</v>
      </c>
      <c r="E84" s="14" t="s">
        <v>224</v>
      </c>
    </row>
    <row r="85" spans="2:6" ht="30" customHeight="1" x14ac:dyDescent="0.15">
      <c r="B85" s="12" t="s">
        <v>247</v>
      </c>
      <c r="E85" s="14" t="s">
        <v>246</v>
      </c>
    </row>
    <row r="86" spans="2:6" ht="30" customHeight="1" x14ac:dyDescent="0.15">
      <c r="B86" s="12" t="s">
        <v>86</v>
      </c>
      <c r="E86" s="14" t="s">
        <v>85</v>
      </c>
    </row>
    <row r="87" spans="2:6" ht="30" customHeight="1" x14ac:dyDescent="0.15">
      <c r="B87" s="12" t="s">
        <v>175</v>
      </c>
      <c r="E87" s="14" t="s">
        <v>174</v>
      </c>
    </row>
    <row r="88" spans="2:6" ht="30" customHeight="1" x14ac:dyDescent="0.15">
      <c r="B88" s="12" t="s">
        <v>255</v>
      </c>
      <c r="E88" s="14" t="s">
        <v>254</v>
      </c>
    </row>
    <row r="89" spans="2:6" ht="30" customHeight="1" x14ac:dyDescent="0.15">
      <c r="B89" s="12" t="s">
        <v>231</v>
      </c>
      <c r="E89" s="14" t="s">
        <v>230</v>
      </c>
    </row>
    <row r="90" spans="2:6" ht="30" customHeight="1" x14ac:dyDescent="0.15">
      <c r="B90" s="12" t="s">
        <v>261</v>
      </c>
      <c r="E90" s="14" t="s">
        <v>260</v>
      </c>
    </row>
    <row r="91" spans="2:6" ht="30" customHeight="1" x14ac:dyDescent="0.15">
      <c r="B91" s="12" t="s">
        <v>62</v>
      </c>
      <c r="C91" s="2" t="s">
        <v>63</v>
      </c>
      <c r="E91" s="14" t="s">
        <v>61</v>
      </c>
    </row>
    <row r="92" spans="2:6" ht="30" customHeight="1" x14ac:dyDescent="0.15">
      <c r="B92" s="12" t="s">
        <v>229</v>
      </c>
      <c r="E92" s="14" t="s">
        <v>228</v>
      </c>
    </row>
    <row r="93" spans="2:6" ht="30" customHeight="1" x14ac:dyDescent="0.15">
      <c r="B93" s="12" t="s">
        <v>279</v>
      </c>
      <c r="E93" s="15" t="s">
        <v>280</v>
      </c>
      <c r="F93" s="2" t="s">
        <v>281</v>
      </c>
    </row>
    <row r="94" spans="2:6" ht="30" customHeight="1" x14ac:dyDescent="0.15">
      <c r="B94" s="12" t="s">
        <v>197</v>
      </c>
      <c r="E94" s="14" t="s">
        <v>196</v>
      </c>
    </row>
    <row r="95" spans="2:6" ht="30" customHeight="1" x14ac:dyDescent="0.15">
      <c r="B95" s="12" t="s">
        <v>130</v>
      </c>
      <c r="E95" s="14" t="s">
        <v>129</v>
      </c>
    </row>
    <row r="96" spans="2:6" ht="30" customHeight="1" x14ac:dyDescent="0.15">
      <c r="B96" s="12" t="s">
        <v>204</v>
      </c>
      <c r="E96" s="14" t="s">
        <v>203</v>
      </c>
    </row>
    <row r="97" spans="2:5" ht="30" customHeight="1" x14ac:dyDescent="0.15">
      <c r="B97" s="12" t="s">
        <v>249</v>
      </c>
      <c r="E97" s="14" t="s">
        <v>248</v>
      </c>
    </row>
    <row r="98" spans="2:5" ht="30" customHeight="1" x14ac:dyDescent="0.15">
      <c r="B98" s="12" t="s">
        <v>183</v>
      </c>
      <c r="E98" s="14" t="s">
        <v>182</v>
      </c>
    </row>
    <row r="99" spans="2:5" ht="30" customHeight="1" x14ac:dyDescent="0.15">
      <c r="B99" s="12" t="s">
        <v>191</v>
      </c>
      <c r="E99" s="14" t="s">
        <v>190</v>
      </c>
    </row>
    <row r="100" spans="2:5" ht="30" customHeight="1" x14ac:dyDescent="0.15">
      <c r="B100" s="12" t="s">
        <v>76</v>
      </c>
      <c r="E100" s="14" t="s">
        <v>75</v>
      </c>
    </row>
    <row r="101" spans="2:5" ht="30" customHeight="1" x14ac:dyDescent="0.15">
      <c r="B101" s="12" t="s">
        <v>116</v>
      </c>
      <c r="E101" s="14" t="s">
        <v>115</v>
      </c>
    </row>
    <row r="102" spans="2:5" ht="30" customHeight="1" x14ac:dyDescent="0.15">
      <c r="B102" s="12" t="s">
        <v>216</v>
      </c>
      <c r="E102" s="14" t="s">
        <v>215</v>
      </c>
    </row>
    <row r="103" spans="2:5" ht="30" customHeight="1" x14ac:dyDescent="0.15">
      <c r="B103" s="12" t="s">
        <v>147</v>
      </c>
      <c r="E103" s="14" t="s">
        <v>146</v>
      </c>
    </row>
    <row r="104" spans="2:5" ht="30" customHeight="1" x14ac:dyDescent="0.15">
      <c r="B104" s="12" t="s">
        <v>220</v>
      </c>
      <c r="C104" s="2" t="s">
        <v>221</v>
      </c>
      <c r="E104" s="14" t="s">
        <v>219</v>
      </c>
    </row>
    <row r="105" spans="2:5" ht="30" customHeight="1" x14ac:dyDescent="0.15">
      <c r="B105" s="12" t="s">
        <v>223</v>
      </c>
      <c r="E105" s="14" t="s">
        <v>222</v>
      </c>
    </row>
    <row r="106" spans="2:5" ht="30" customHeight="1" x14ac:dyDescent="0.15">
      <c r="B106" s="12" t="s">
        <v>243</v>
      </c>
      <c r="E106" s="14" t="s">
        <v>242</v>
      </c>
    </row>
    <row r="107" spans="2:5" ht="30" customHeight="1" x14ac:dyDescent="0.15">
      <c r="B107" s="12" t="s">
        <v>173</v>
      </c>
      <c r="E107" s="14" t="s">
        <v>172</v>
      </c>
    </row>
    <row r="108" spans="2:5" ht="30" customHeight="1" x14ac:dyDescent="0.15">
      <c r="B108" s="12" t="s">
        <v>90</v>
      </c>
      <c r="E108" s="14" t="s">
        <v>89</v>
      </c>
    </row>
    <row r="109" spans="2:5" ht="30" customHeight="1" x14ac:dyDescent="0.15">
      <c r="B109" s="12" t="s">
        <v>199</v>
      </c>
      <c r="E109" s="14" t="s">
        <v>198</v>
      </c>
    </row>
    <row r="110" spans="2:5" ht="30" customHeight="1" x14ac:dyDescent="0.15">
      <c r="B110" s="12" t="s">
        <v>227</v>
      </c>
      <c r="E110" s="14" t="s">
        <v>226</v>
      </c>
    </row>
    <row r="111" spans="2:5" ht="30" customHeight="1" x14ac:dyDescent="0.15">
      <c r="B111" s="12" t="s">
        <v>34</v>
      </c>
      <c r="E111" s="14" t="s">
        <v>33</v>
      </c>
    </row>
    <row r="112" spans="2:5" ht="30" customHeight="1" x14ac:dyDescent="0.15">
      <c r="B112" s="12" t="s">
        <v>218</v>
      </c>
      <c r="E112" s="14" t="s">
        <v>217</v>
      </c>
    </row>
    <row r="113" spans="2:6" ht="30" customHeight="1" x14ac:dyDescent="0.15">
      <c r="B113" s="12" t="s">
        <v>114</v>
      </c>
      <c r="E113" s="14" t="s">
        <v>113</v>
      </c>
    </row>
    <row r="114" spans="2:6" ht="30" customHeight="1" x14ac:dyDescent="0.15">
      <c r="B114" s="12" t="s">
        <v>128</v>
      </c>
      <c r="E114" s="14" t="s">
        <v>127</v>
      </c>
    </row>
    <row r="115" spans="2:6" ht="30" customHeight="1" x14ac:dyDescent="0.15">
      <c r="B115" s="12" t="s">
        <v>162</v>
      </c>
      <c r="D115" s="2" t="s">
        <v>163</v>
      </c>
      <c r="E115" s="14" t="s">
        <v>161</v>
      </c>
    </row>
    <row r="116" spans="2:6" ht="30" customHeight="1" x14ac:dyDescent="0.15">
      <c r="B116" s="12" t="s">
        <v>132</v>
      </c>
      <c r="E116" s="14" t="s">
        <v>131</v>
      </c>
    </row>
    <row r="117" spans="2:6" ht="30" customHeight="1" x14ac:dyDescent="0.15">
      <c r="B117" s="12" t="s">
        <v>46</v>
      </c>
      <c r="E117" s="14" t="s">
        <v>45</v>
      </c>
    </row>
    <row r="118" spans="2:6" ht="30" customHeight="1" x14ac:dyDescent="0.15">
      <c r="B118" s="12" t="s">
        <v>36</v>
      </c>
      <c r="D118" s="2" t="s">
        <v>38</v>
      </c>
      <c r="E118" s="14" t="s">
        <v>35</v>
      </c>
    </row>
    <row r="119" spans="2:6" ht="30" customHeight="1" x14ac:dyDescent="0.15">
      <c r="B119" s="12" t="s">
        <v>210</v>
      </c>
      <c r="E119" s="14" t="s">
        <v>209</v>
      </c>
    </row>
    <row r="120" spans="2:6" ht="30" customHeight="1" x14ac:dyDescent="0.15">
      <c r="B120" s="12" t="s">
        <v>210</v>
      </c>
      <c r="E120" s="14" t="s">
        <v>266</v>
      </c>
    </row>
    <row r="121" spans="2:6" ht="30" customHeight="1" x14ac:dyDescent="0.15">
      <c r="B121" s="12" t="s">
        <v>78</v>
      </c>
      <c r="E121" s="14" t="s">
        <v>77</v>
      </c>
    </row>
    <row r="122" spans="2:6" ht="30" customHeight="1" x14ac:dyDescent="0.15">
      <c r="B122" s="12" t="s">
        <v>72</v>
      </c>
      <c r="E122" s="14" t="s">
        <v>71</v>
      </c>
    </row>
    <row r="123" spans="2:6" ht="30" customHeight="1" x14ac:dyDescent="0.15">
      <c r="B123" s="12" t="s">
        <v>274</v>
      </c>
      <c r="E123" s="14" t="s">
        <v>273</v>
      </c>
    </row>
    <row r="124" spans="2:6" ht="30" customHeight="1" x14ac:dyDescent="0.15">
      <c r="B124" s="12" t="s">
        <v>160</v>
      </c>
      <c r="E124" s="14" t="s">
        <v>159</v>
      </c>
    </row>
    <row r="125" spans="2:6" ht="30" customHeight="1" x14ac:dyDescent="0.15">
      <c r="B125" s="12" t="s">
        <v>329</v>
      </c>
      <c r="C125" s="2" t="s">
        <v>331</v>
      </c>
      <c r="D125" s="2" t="s">
        <v>29</v>
      </c>
      <c r="F125" s="2" t="s">
        <v>330</v>
      </c>
    </row>
    <row r="126" spans="2:6" ht="30" customHeight="1" x14ac:dyDescent="0.15">
      <c r="B126" s="12" t="s">
        <v>298</v>
      </c>
      <c r="C126" s="2" t="s">
        <v>299</v>
      </c>
      <c r="D126" s="2" t="s">
        <v>302</v>
      </c>
      <c r="E126" s="14" t="s">
        <v>300</v>
      </c>
      <c r="F126" s="2" t="s">
        <v>369</v>
      </c>
    </row>
    <row r="127" spans="2:6" ht="30" customHeight="1" x14ac:dyDescent="0.15">
      <c r="B127" s="12" t="s">
        <v>306</v>
      </c>
      <c r="C127" s="2" t="s">
        <v>299</v>
      </c>
      <c r="D127" s="2" t="s">
        <v>303</v>
      </c>
      <c r="F127" s="2" t="s">
        <v>368</v>
      </c>
    </row>
    <row r="128" spans="2:6" ht="30" customHeight="1" x14ac:dyDescent="0.15">
      <c r="B128" s="12" t="s">
        <v>307</v>
      </c>
      <c r="C128" s="2" t="s">
        <v>299</v>
      </c>
      <c r="D128" s="2" t="s">
        <v>304</v>
      </c>
      <c r="F128" s="2" t="s">
        <v>367</v>
      </c>
    </row>
    <row r="129" spans="2:6" ht="30" customHeight="1" x14ac:dyDescent="0.15">
      <c r="B129" s="12" t="s">
        <v>301</v>
      </c>
      <c r="C129" s="2" t="s">
        <v>299</v>
      </c>
      <c r="D129" s="2" t="s">
        <v>305</v>
      </c>
      <c r="F129" s="2" t="s">
        <v>308</v>
      </c>
    </row>
    <row r="130" spans="2:6" ht="30" customHeight="1" x14ac:dyDescent="0.15">
      <c r="B130" s="12" t="s">
        <v>309</v>
      </c>
      <c r="C130" s="2" t="s">
        <v>299</v>
      </c>
      <c r="D130" s="2" t="s">
        <v>310</v>
      </c>
      <c r="F130" s="2" t="s">
        <v>311</v>
      </c>
    </row>
    <row r="131" spans="2:6" ht="30" customHeight="1" x14ac:dyDescent="0.15">
      <c r="B131" s="12" t="s">
        <v>313</v>
      </c>
      <c r="C131" s="2" t="s">
        <v>299</v>
      </c>
      <c r="D131" s="2" t="s">
        <v>29</v>
      </c>
      <c r="F131" s="2" t="s">
        <v>312</v>
      </c>
    </row>
    <row r="132" spans="2:6" ht="30" customHeight="1" x14ac:dyDescent="0.15">
      <c r="B132" s="12" t="s">
        <v>315</v>
      </c>
      <c r="C132" s="2" t="s">
        <v>299</v>
      </c>
      <c r="D132" s="2" t="s">
        <v>29</v>
      </c>
      <c r="F132" s="2" t="s">
        <v>314</v>
      </c>
    </row>
    <row r="133" spans="2:6" ht="30" customHeight="1" x14ac:dyDescent="0.15">
      <c r="B133" s="12" t="s">
        <v>316</v>
      </c>
      <c r="C133" s="2" t="s">
        <v>299</v>
      </c>
      <c r="D133" s="2" t="s">
        <v>317</v>
      </c>
      <c r="F133" s="2" t="s">
        <v>318</v>
      </c>
    </row>
    <row r="134" spans="2:6" ht="30" customHeight="1" x14ac:dyDescent="0.15">
      <c r="B134" s="12" t="s">
        <v>319</v>
      </c>
      <c r="C134" s="2" t="s">
        <v>299</v>
      </c>
      <c r="D134" s="2" t="s">
        <v>320</v>
      </c>
      <c r="F134" s="2" t="s">
        <v>353</v>
      </c>
    </row>
    <row r="135" spans="2:6" ht="30" customHeight="1" x14ac:dyDescent="0.15">
      <c r="B135" s="12" t="s">
        <v>322</v>
      </c>
      <c r="C135" s="2" t="s">
        <v>299</v>
      </c>
      <c r="D135" s="2" t="s">
        <v>323</v>
      </c>
      <c r="F135" s="2" t="s">
        <v>324</v>
      </c>
    </row>
    <row r="136" spans="2:6" ht="30" customHeight="1" x14ac:dyDescent="0.15">
      <c r="B136" s="12" t="s">
        <v>325</v>
      </c>
      <c r="C136" s="2" t="s">
        <v>299</v>
      </c>
      <c r="D136" s="2" t="s">
        <v>323</v>
      </c>
      <c r="F136" s="2" t="s">
        <v>321</v>
      </c>
    </row>
    <row r="137" spans="2:6" ht="30" customHeight="1" x14ac:dyDescent="0.15">
      <c r="B137" s="12" t="s">
        <v>326</v>
      </c>
      <c r="C137" s="2" t="s">
        <v>299</v>
      </c>
      <c r="D137" s="2" t="s">
        <v>327</v>
      </c>
      <c r="F137" s="2" t="s">
        <v>364</v>
      </c>
    </row>
    <row r="138" spans="2:6" ht="30" customHeight="1" x14ac:dyDescent="0.15">
      <c r="B138" s="12" t="s">
        <v>328</v>
      </c>
      <c r="C138" s="2" t="s">
        <v>299</v>
      </c>
      <c r="D138" s="2" t="s">
        <v>327</v>
      </c>
      <c r="F138" s="2" t="s">
        <v>334</v>
      </c>
    </row>
    <row r="139" spans="2:6" ht="30" customHeight="1" x14ac:dyDescent="0.15">
      <c r="B139" s="12" t="s">
        <v>332</v>
      </c>
      <c r="C139" s="2" t="s">
        <v>299</v>
      </c>
      <c r="D139" s="2" t="s">
        <v>302</v>
      </c>
      <c r="F139" s="2" t="s">
        <v>324</v>
      </c>
    </row>
    <row r="140" spans="2:6" ht="30" customHeight="1" x14ac:dyDescent="0.15">
      <c r="B140" s="12" t="s">
        <v>333</v>
      </c>
      <c r="C140" s="2" t="s">
        <v>299</v>
      </c>
      <c r="F140" s="2" t="s">
        <v>321</v>
      </c>
    </row>
    <row r="141" spans="2:6" ht="30" customHeight="1" x14ac:dyDescent="0.15">
      <c r="B141" s="12" t="s">
        <v>335</v>
      </c>
      <c r="C141" s="2" t="s">
        <v>299</v>
      </c>
      <c r="D141" s="2" t="s">
        <v>303</v>
      </c>
      <c r="F141" s="2" t="s">
        <v>336</v>
      </c>
    </row>
    <row r="142" spans="2:6" ht="30" customHeight="1" x14ac:dyDescent="0.15">
      <c r="B142" s="12" t="s">
        <v>337</v>
      </c>
      <c r="C142" s="2" t="s">
        <v>299</v>
      </c>
      <c r="D142" s="2" t="s">
        <v>304</v>
      </c>
      <c r="F142" s="2" t="s">
        <v>338</v>
      </c>
    </row>
    <row r="143" spans="2:6" ht="30" customHeight="1" x14ac:dyDescent="0.15">
      <c r="B143" s="12" t="s">
        <v>339</v>
      </c>
      <c r="C143" s="2" t="s">
        <v>299</v>
      </c>
      <c r="D143" s="2" t="s">
        <v>304</v>
      </c>
      <c r="F143" s="2" t="s">
        <v>340</v>
      </c>
    </row>
    <row r="144" spans="2:6" ht="30" customHeight="1" x14ac:dyDescent="0.15">
      <c r="B144" s="12" t="s">
        <v>341</v>
      </c>
      <c r="C144" s="2" t="s">
        <v>299</v>
      </c>
      <c r="F144" s="2" t="s">
        <v>342</v>
      </c>
    </row>
    <row r="145" spans="2:6" ht="30" customHeight="1" x14ac:dyDescent="0.15">
      <c r="B145" s="12" t="s">
        <v>343</v>
      </c>
      <c r="C145" s="2" t="s">
        <v>299</v>
      </c>
      <c r="D145" s="2" t="s">
        <v>344</v>
      </c>
      <c r="F145" s="2" t="s">
        <v>345</v>
      </c>
    </row>
    <row r="146" spans="2:6" ht="30" customHeight="1" x14ac:dyDescent="0.15">
      <c r="B146" s="12" t="s">
        <v>346</v>
      </c>
      <c r="C146" s="2" t="s">
        <v>299</v>
      </c>
      <c r="D146" s="2" t="s">
        <v>348</v>
      </c>
      <c r="F146" s="2" t="s">
        <v>347</v>
      </c>
    </row>
    <row r="147" spans="2:6" ht="30" customHeight="1" x14ac:dyDescent="0.15">
      <c r="B147" s="12" t="s">
        <v>350</v>
      </c>
      <c r="C147" s="2" t="s">
        <v>299</v>
      </c>
      <c r="D147" s="2" t="s">
        <v>29</v>
      </c>
      <c r="F147" s="2" t="s">
        <v>349</v>
      </c>
    </row>
    <row r="148" spans="2:6" ht="30" customHeight="1" x14ac:dyDescent="0.15">
      <c r="B148" s="12" t="s">
        <v>351</v>
      </c>
      <c r="C148" s="2" t="s">
        <v>299</v>
      </c>
      <c r="D148" s="2" t="s">
        <v>29</v>
      </c>
      <c r="F148" s="2" t="s">
        <v>352</v>
      </c>
    </row>
    <row r="149" spans="2:6" ht="30" customHeight="1" x14ac:dyDescent="0.15">
      <c r="B149" s="12" t="s">
        <v>319</v>
      </c>
      <c r="C149" s="2" t="s">
        <v>299</v>
      </c>
      <c r="D149" s="2" t="s">
        <v>320</v>
      </c>
      <c r="F149" s="2" t="s">
        <v>356</v>
      </c>
    </row>
    <row r="150" spans="2:6" ht="30" customHeight="1" x14ac:dyDescent="0.15">
      <c r="B150" s="12" t="s">
        <v>354</v>
      </c>
      <c r="C150" s="2" t="s">
        <v>299</v>
      </c>
      <c r="D150" s="2" t="s">
        <v>357</v>
      </c>
      <c r="F150" s="2" t="s">
        <v>355</v>
      </c>
    </row>
    <row r="151" spans="2:6" ht="30" customHeight="1" x14ac:dyDescent="0.15">
      <c r="B151" s="12" t="s">
        <v>358</v>
      </c>
      <c r="C151" s="2" t="s">
        <v>299</v>
      </c>
      <c r="D151" s="2" t="s">
        <v>317</v>
      </c>
      <c r="F151" s="2" t="s">
        <v>359</v>
      </c>
    </row>
    <row r="152" spans="2:6" ht="30" customHeight="1" x14ac:dyDescent="0.15">
      <c r="B152" s="12" t="s">
        <v>360</v>
      </c>
      <c r="C152" s="2" t="s">
        <v>299</v>
      </c>
      <c r="D152" s="2" t="s">
        <v>323</v>
      </c>
      <c r="F152" s="2" t="s">
        <v>361</v>
      </c>
    </row>
    <row r="153" spans="2:6" ht="30" customHeight="1" x14ac:dyDescent="0.15">
      <c r="B153" s="12" t="s">
        <v>362</v>
      </c>
      <c r="C153" s="2" t="s">
        <v>299</v>
      </c>
      <c r="D153" s="2" t="s">
        <v>323</v>
      </c>
      <c r="F153" s="2" t="s">
        <v>363</v>
      </c>
    </row>
    <row r="154" spans="2:6" ht="30" customHeight="1" x14ac:dyDescent="0.15">
      <c r="B154" s="12" t="s">
        <v>365</v>
      </c>
      <c r="C154" s="2" t="s">
        <v>299</v>
      </c>
      <c r="D154" s="2" t="s">
        <v>327</v>
      </c>
      <c r="F154" s="2" t="s">
        <v>366</v>
      </c>
    </row>
    <row r="155" spans="2:6" ht="30" customHeight="1" x14ac:dyDescent="0.15">
      <c r="B155" s="12"/>
      <c r="C155" s="2" t="s">
        <v>299</v>
      </c>
    </row>
    <row r="156" spans="2:6" ht="30" customHeight="1" x14ac:dyDescent="0.15">
      <c r="B156" s="12"/>
      <c r="C156" s="2" t="s">
        <v>299</v>
      </c>
    </row>
    <row r="157" spans="2:6" ht="30" customHeight="1" x14ac:dyDescent="0.15">
      <c r="B157" s="12"/>
      <c r="C157" s="2" t="s">
        <v>299</v>
      </c>
    </row>
    <row r="158" spans="2:6" ht="30" customHeight="1" x14ac:dyDescent="0.15">
      <c r="B158" s="12"/>
      <c r="C158" s="2" t="s">
        <v>299</v>
      </c>
    </row>
    <row r="159" spans="2:6" ht="30" customHeight="1" x14ac:dyDescent="0.15">
      <c r="B159" s="12"/>
      <c r="C159" s="2" t="s">
        <v>299</v>
      </c>
    </row>
    <row r="160" spans="2:6" ht="30" customHeight="1" x14ac:dyDescent="0.15">
      <c r="B160" s="12"/>
      <c r="C160" s="2" t="s">
        <v>299</v>
      </c>
    </row>
    <row r="161" spans="2:3" ht="30" customHeight="1" x14ac:dyDescent="0.15">
      <c r="B161" s="12"/>
      <c r="C161" s="2" t="s">
        <v>299</v>
      </c>
    </row>
    <row r="162" spans="2:3" ht="30" customHeight="1" x14ac:dyDescent="0.15">
      <c r="B162" s="12"/>
      <c r="C162" s="2" t="s">
        <v>299</v>
      </c>
    </row>
    <row r="163" spans="2:3" ht="30" customHeight="1" x14ac:dyDescent="0.15">
      <c r="B163" s="12"/>
      <c r="C163" s="2" t="s">
        <v>299</v>
      </c>
    </row>
    <row r="164" spans="2:3" ht="30" customHeight="1" x14ac:dyDescent="0.15">
      <c r="B164" s="12"/>
      <c r="C164" s="2" t="s">
        <v>299</v>
      </c>
    </row>
    <row r="165" spans="2:3" ht="30" customHeight="1" x14ac:dyDescent="0.15">
      <c r="B165" s="12"/>
      <c r="C165" s="2" t="s">
        <v>299</v>
      </c>
    </row>
    <row r="166" spans="2:3" ht="30" customHeight="1" x14ac:dyDescent="0.15">
      <c r="B166" s="12"/>
      <c r="C166" s="2" t="s">
        <v>299</v>
      </c>
    </row>
    <row r="167" spans="2:3" ht="30" customHeight="1" x14ac:dyDescent="0.15">
      <c r="B167" s="12"/>
      <c r="C167" s="2" t="s">
        <v>299</v>
      </c>
    </row>
    <row r="168" spans="2:3" ht="30" customHeight="1" x14ac:dyDescent="0.15">
      <c r="B168" s="12"/>
      <c r="C168" s="2" t="s">
        <v>299</v>
      </c>
    </row>
    <row r="169" spans="2:3" ht="30" customHeight="1" x14ac:dyDescent="0.15">
      <c r="B169" s="12"/>
      <c r="C169" s="2" t="s">
        <v>299</v>
      </c>
    </row>
    <row r="170" spans="2:3" ht="30" customHeight="1" x14ac:dyDescent="0.15">
      <c r="B170" s="12"/>
      <c r="C170" s="2" t="s">
        <v>299</v>
      </c>
    </row>
    <row r="171" spans="2:3" ht="30" customHeight="1" x14ac:dyDescent="0.15">
      <c r="B171" s="12"/>
      <c r="C171" s="2" t="s">
        <v>299</v>
      </c>
    </row>
    <row r="172" spans="2:3" ht="30" customHeight="1" x14ac:dyDescent="0.15">
      <c r="B172" s="12"/>
      <c r="C172" s="2" t="s">
        <v>299</v>
      </c>
    </row>
    <row r="173" spans="2:3" ht="30" customHeight="1" x14ac:dyDescent="0.15">
      <c r="B173" s="12"/>
      <c r="C173" s="2" t="s">
        <v>299</v>
      </c>
    </row>
    <row r="174" spans="2:3" ht="30" customHeight="1" x14ac:dyDescent="0.15">
      <c r="B174" s="12"/>
      <c r="C174" s="2" t="s">
        <v>299</v>
      </c>
    </row>
    <row r="175" spans="2:3" ht="30" customHeight="1" x14ac:dyDescent="0.15">
      <c r="B175" s="12"/>
      <c r="C175" s="2" t="s">
        <v>299</v>
      </c>
    </row>
    <row r="176" spans="2:3" ht="30" customHeight="1" x14ac:dyDescent="0.15">
      <c r="B176" s="12"/>
      <c r="C176" s="2" t="s">
        <v>299</v>
      </c>
    </row>
    <row r="177" spans="2:3" ht="30" customHeight="1" x14ac:dyDescent="0.15">
      <c r="B177" s="12"/>
      <c r="C177" s="2" t="s">
        <v>299</v>
      </c>
    </row>
    <row r="178" spans="2:3" ht="30" customHeight="1" x14ac:dyDescent="0.15">
      <c r="B178" s="12"/>
      <c r="C178" s="2" t="s">
        <v>299</v>
      </c>
    </row>
    <row r="179" spans="2:3" ht="30" customHeight="1" x14ac:dyDescent="0.15">
      <c r="B179" s="12"/>
      <c r="C179" s="2" t="s">
        <v>299</v>
      </c>
    </row>
    <row r="180" spans="2:3" ht="30" customHeight="1" x14ac:dyDescent="0.15">
      <c r="B180" s="12"/>
      <c r="C180" s="2" t="s">
        <v>299</v>
      </c>
    </row>
    <row r="181" spans="2:3" ht="30" customHeight="1" x14ac:dyDescent="0.15">
      <c r="B181" s="12"/>
      <c r="C181" s="2" t="s">
        <v>299</v>
      </c>
    </row>
    <row r="182" spans="2:3" ht="30" customHeight="1" x14ac:dyDescent="0.15">
      <c r="B182" s="12"/>
      <c r="C182" s="2" t="s">
        <v>299</v>
      </c>
    </row>
    <row r="183" spans="2:3" ht="30" customHeight="1" x14ac:dyDescent="0.15">
      <c r="B183" s="12"/>
      <c r="C183" s="2" t="s">
        <v>299</v>
      </c>
    </row>
    <row r="184" spans="2:3" ht="30" customHeight="1" x14ac:dyDescent="0.15">
      <c r="B184" s="12"/>
      <c r="C184" s="2" t="s">
        <v>299</v>
      </c>
    </row>
    <row r="185" spans="2:3" ht="30" customHeight="1" x14ac:dyDescent="0.15">
      <c r="B185" s="12"/>
      <c r="C185" s="2" t="s">
        <v>299</v>
      </c>
    </row>
    <row r="186" spans="2:3" ht="30" customHeight="1" x14ac:dyDescent="0.15">
      <c r="B186" s="12"/>
      <c r="C186" s="2" t="s">
        <v>299</v>
      </c>
    </row>
    <row r="187" spans="2:3" ht="30" customHeight="1" x14ac:dyDescent="0.15">
      <c r="B187" s="12"/>
      <c r="C187" s="2" t="s">
        <v>299</v>
      </c>
    </row>
    <row r="188" spans="2:3" ht="30" customHeight="1" x14ac:dyDescent="0.15">
      <c r="B188" s="12"/>
      <c r="C188" s="2" t="s">
        <v>299</v>
      </c>
    </row>
    <row r="189" spans="2:3" ht="30" customHeight="1" x14ac:dyDescent="0.15">
      <c r="B189" s="12"/>
      <c r="C189" s="2" t="s">
        <v>299</v>
      </c>
    </row>
    <row r="190" spans="2:3" ht="30" customHeight="1" x14ac:dyDescent="0.15">
      <c r="B190" s="12"/>
      <c r="C190" s="2" t="s">
        <v>299</v>
      </c>
    </row>
    <row r="191" spans="2:3" ht="30" customHeight="1" x14ac:dyDescent="0.15">
      <c r="B191" s="12"/>
      <c r="C191" s="2" t="s">
        <v>299</v>
      </c>
    </row>
    <row r="192" spans="2:3" ht="30" customHeight="1" x14ac:dyDescent="0.15">
      <c r="B192" s="12"/>
      <c r="C192" s="2" t="s">
        <v>299</v>
      </c>
    </row>
    <row r="193" spans="2:3" ht="30" customHeight="1" x14ac:dyDescent="0.15">
      <c r="B193" s="12"/>
      <c r="C193" s="2" t="s">
        <v>299</v>
      </c>
    </row>
    <row r="194" spans="2:3" ht="30" customHeight="1" x14ac:dyDescent="0.15">
      <c r="B194" s="12"/>
    </row>
    <row r="195" spans="2:3" ht="30" customHeight="1" x14ac:dyDescent="0.15">
      <c r="B195" s="12"/>
    </row>
    <row r="196" spans="2:3" ht="30" customHeight="1" x14ac:dyDescent="0.15">
      <c r="B196" s="12"/>
    </row>
    <row r="197" spans="2:3" ht="30" customHeight="1" x14ac:dyDescent="0.15">
      <c r="B197" s="12"/>
    </row>
    <row r="198" spans="2:3" ht="30" customHeight="1" x14ac:dyDescent="0.15">
      <c r="B198" s="12"/>
    </row>
    <row r="199" spans="2:3" ht="30" customHeight="1" x14ac:dyDescent="0.15">
      <c r="B199" s="12"/>
    </row>
    <row r="200" spans="2:3" ht="30" customHeight="1" x14ac:dyDescent="0.15">
      <c r="B200" s="12"/>
    </row>
    <row r="201" spans="2:3" ht="30" customHeight="1" x14ac:dyDescent="0.15">
      <c r="B201" s="12"/>
    </row>
    <row r="202" spans="2:3" ht="30" customHeight="1" x14ac:dyDescent="0.15">
      <c r="B202" s="12"/>
    </row>
    <row r="203" spans="2:3" ht="30" customHeight="1" x14ac:dyDescent="0.15">
      <c r="B203" s="12"/>
    </row>
    <row r="204" spans="2:3" ht="30" customHeight="1" x14ac:dyDescent="0.15">
      <c r="B204" s="12"/>
    </row>
    <row r="205" spans="2:3" ht="30" customHeight="1" x14ac:dyDescent="0.15">
      <c r="B205" s="12"/>
    </row>
    <row r="206" spans="2:3" ht="30" customHeight="1" x14ac:dyDescent="0.15">
      <c r="B206" s="12"/>
    </row>
    <row r="207" spans="2:3" ht="30" customHeight="1" x14ac:dyDescent="0.15">
      <c r="B207" s="12"/>
    </row>
    <row r="208" spans="2:3" ht="30" customHeight="1" x14ac:dyDescent="0.15">
      <c r="B208" s="12"/>
    </row>
    <row r="209" spans="2:2" ht="30" customHeight="1" x14ac:dyDescent="0.15">
      <c r="B209" s="12"/>
    </row>
    <row r="210" spans="2:2" ht="30" customHeight="1" x14ac:dyDescent="0.15">
      <c r="B210" s="12"/>
    </row>
    <row r="211" spans="2:2" ht="30" customHeight="1" x14ac:dyDescent="0.15">
      <c r="B211" s="12"/>
    </row>
    <row r="212" spans="2:2" ht="30" customHeight="1" x14ac:dyDescent="0.15">
      <c r="B212" s="12"/>
    </row>
    <row r="213" spans="2:2" ht="30" customHeight="1" x14ac:dyDescent="0.15">
      <c r="B213" s="12"/>
    </row>
    <row r="214" spans="2:2" ht="30" customHeight="1" x14ac:dyDescent="0.15">
      <c r="B214" s="12"/>
    </row>
    <row r="215" spans="2:2" ht="30" customHeight="1" x14ac:dyDescent="0.15">
      <c r="B215" s="12"/>
    </row>
    <row r="216" spans="2:2" ht="30" customHeight="1" x14ac:dyDescent="0.15">
      <c r="B216" s="12"/>
    </row>
    <row r="217" spans="2:2" ht="30" customHeight="1" x14ac:dyDescent="0.15">
      <c r="B217" s="12"/>
    </row>
  </sheetData>
  <dataConsolidate/>
  <phoneticPr fontId="8"/>
  <dataValidations count="8">
    <dataValidation allowBlank="1" showInputMessage="1" showErrorMessage="1" prompt="営業の電話ログ ワークシートのこの列には、電話をかけるクライアントを選ぶために使用するクライアント名を入力します" sqref="B3" xr:uid="{00000000-0002-0000-0100-000000000000}"/>
    <dataValidation allowBlank="1" showInputMessage="1" showErrorMessage="1" prompt="この列には、クライアントの会社名を入力します。この情報は、営業の電話ログ ワークシートで会社情報を自動的に更新するために使用されます" sqref="C3" xr:uid="{00000000-0002-0000-0100-000001000000}"/>
    <dataValidation allowBlank="1" showInputMessage="1" showErrorMessage="1" prompt="この列にクライアントの住所を入力します" sqref="D3" xr:uid="{00000000-0002-0000-0100-000002000000}"/>
    <dataValidation allowBlank="1" showInputMessage="1" showErrorMessage="1" prompt="この列にクライアントの郵便番号、都道府県、市区町村を入力します" sqref="E3" xr:uid="{00000000-0002-0000-0100-000003000000}"/>
    <dataValidation allowBlank="1" showInputMessage="1" showErrorMessage="1" prompt="この列にクライアントの通常の電話番号を入力します" sqref="F3" xr:uid="{00000000-0002-0000-0100-000004000000}"/>
    <dataValidation allowBlank="1" showInputMessage="1" showErrorMessage="1" prompt="この列にクライアントの予備の電話番号を入力します" sqref="G3" xr:uid="{00000000-0002-0000-0100-000005000000}"/>
    <dataValidation allowBlank="1" showInputMessage="1" showErrorMessage="1" prompt="この列にクライアントのメールアドレスを入力します" sqref="H3" xr:uid="{00000000-0002-0000-0100-000006000000}"/>
    <dataValidation allowBlank="1" showInputMessage="1" showErrorMessage="1" prompt="このワークシートに含まれるクライアントの連絡先情報表にクライアントの連絡先情報を入力します" sqref="A1" xr:uid="{00000000-0002-0000-0100-000007000000}"/>
  </dataValidations>
  <hyperlinks>
    <hyperlink ref="E29" r:id="rId1" xr:uid="{456ED894-CA47-4E68-91BC-6FFD8CF60AC6}"/>
    <hyperlink ref="E57" r:id="rId2" xr:uid="{D7844178-C907-4BCB-A11B-35FD12D59676}"/>
    <hyperlink ref="E111" r:id="rId3" xr:uid="{42995562-6005-4252-BE2A-5A8C5E656887}"/>
    <hyperlink ref="E118" r:id="rId4" xr:uid="{11AA7E9D-C411-47CF-9AEF-DCC3604EB9C2}"/>
    <hyperlink ref="E76" r:id="rId5" xr:uid="{6CAE1868-8A94-4083-96E0-E7317680B42E}"/>
    <hyperlink ref="E51" r:id="rId6" xr:uid="{22E89C3A-68FD-4047-99F1-6E258A9CC843}"/>
    <hyperlink ref="E40" r:id="rId7" xr:uid="{4BE7265C-1242-44CE-B7AC-4DFA01FFA4B1}"/>
    <hyperlink ref="E117" r:id="rId8" xr:uid="{698BC5B1-1F9E-4E7B-8F79-9A06F884FC97}"/>
    <hyperlink ref="E35" r:id="rId9" xr:uid="{1776F31D-2AAB-4C73-9EE6-55F506A9650E}"/>
    <hyperlink ref="E23" r:id="rId10" xr:uid="{352A12D8-5E8D-4119-A792-821C72AEAA4E}"/>
    <hyperlink ref="E20" r:id="rId11" xr:uid="{C3CB8B45-E243-4141-AF22-F70B14577F63}"/>
    <hyperlink ref="E49" r:id="rId12" xr:uid="{7442E52B-88A5-427B-9F1A-17C8C3E02A3C}"/>
    <hyperlink ref="E46" r:id="rId13" xr:uid="{BD672622-B02F-4A69-A536-0D9737DA1779}"/>
    <hyperlink ref="E73" r:id="rId14" xr:uid="{1AC1D6F5-F218-4B67-A04E-8E5AD1801E67}"/>
    <hyperlink ref="E91" r:id="rId15" xr:uid="{1503A78B-EEDB-4676-816F-5C141257F3BD}"/>
    <hyperlink ref="E64" r:id="rId16" xr:uid="{19267933-10C3-4D5D-9637-D74B01B1DC2B}"/>
    <hyperlink ref="E9" r:id="rId17" xr:uid="{4CA1E6BF-39C4-4DCB-9D9E-ABF3586965E4}"/>
    <hyperlink ref="E17" r:id="rId18" xr:uid="{941379B7-0749-4E74-AA08-1F19AD3CE869}"/>
    <hyperlink ref="E122" r:id="rId19" xr:uid="{FD2D101D-DB70-41C2-848D-188DB680BEAA}"/>
    <hyperlink ref="E19" r:id="rId20" xr:uid="{64A52F32-D585-4BF4-8180-EA984612F195}"/>
    <hyperlink ref="E100" r:id="rId21" xr:uid="{5AA73B26-45DC-4FEB-B3D8-C02A79C4DEF6}"/>
    <hyperlink ref="E121" r:id="rId22" xr:uid="{A4C56988-E216-45EA-8433-3E6AB59EEE61}"/>
    <hyperlink ref="E75" r:id="rId23" xr:uid="{CF3F825F-E6C6-475E-93AC-A2E1D3B4DECA}"/>
    <hyperlink ref="E32" r:id="rId24" xr:uid="{F83D3A62-88F6-4906-9FDB-0B3626EA742E}"/>
    <hyperlink ref="E53" r:id="rId25" xr:uid="{85419677-5F5F-463E-A126-B713BE7E8411}"/>
    <hyperlink ref="E86" r:id="rId26" xr:uid="{328A1398-DF6E-4B8F-94E3-425C64560021}"/>
    <hyperlink ref="E33" r:id="rId27" xr:uid="{D035A59F-E33F-48D0-87F2-B3E6CA0FAC05}"/>
    <hyperlink ref="E108" r:id="rId28" xr:uid="{346693D4-BF51-4146-98D7-0D075EB9525D}"/>
    <hyperlink ref="E30" r:id="rId29" xr:uid="{3A1394F2-0858-438B-ACF2-6B7471226D7D}"/>
    <hyperlink ref="E8" r:id="rId30" xr:uid="{7F40D4BE-F6BE-4CCF-B585-A0A465DA4309}"/>
    <hyperlink ref="E45" r:id="rId31" xr:uid="{9F97A548-BE64-4568-98F0-57F0A3569967}"/>
    <hyperlink ref="E27" r:id="rId32" xr:uid="{947CA8EB-FB27-4034-B25F-88CECEEEA758}"/>
    <hyperlink ref="E66" r:id="rId33" xr:uid="{2A0FC520-7504-4D95-80C5-516DBB99E68C}"/>
    <hyperlink ref="E67" r:id="rId34" xr:uid="{660A251C-084B-443A-BDBB-5583C2C33C5F}"/>
    <hyperlink ref="E62" r:id="rId35" xr:uid="{4456D858-5792-4FCC-B465-C610A1A22A54}"/>
    <hyperlink ref="E4" r:id="rId36" xr:uid="{5E9F194A-DE1A-4FE0-8BD0-D33AF0461234}"/>
    <hyperlink ref="E44" r:id="rId37" xr:uid="{33B5BE47-F335-40B6-831B-4A8B8EEAD023}"/>
    <hyperlink ref="E38" r:id="rId38" xr:uid="{62195A2A-A064-41AE-8780-31D7A4479BB8}"/>
    <hyperlink ref="E60" r:id="rId39" xr:uid="{966819A9-A069-4A31-A965-640D54B35AE9}"/>
    <hyperlink ref="E113" r:id="rId40" xr:uid="{8DA21895-8F30-47A0-88FC-647076054F2D}"/>
    <hyperlink ref="E101" r:id="rId41" xr:uid="{B9436359-CABE-46D8-9881-F9AC2DFB0622}"/>
    <hyperlink ref="E80" r:id="rId42" xr:uid="{B7FA94B4-37F9-4D77-B59C-6A81537B90B8}"/>
    <hyperlink ref="E13" r:id="rId43" xr:uid="{0B4C7254-268E-4E41-BCC2-1042DD6E193A}"/>
    <hyperlink ref="E7" r:id="rId44" xr:uid="{CF902B40-0389-4E1E-A34F-AAD9CEB94CCC}"/>
    <hyperlink ref="E72" r:id="rId45" xr:uid="{BC3DFD13-C044-41DD-8867-04EF2C11ACBA}"/>
    <hyperlink ref="E55" r:id="rId46" xr:uid="{D05218CF-E856-40FF-A343-AD22CBCF2EB4}"/>
    <hyperlink ref="E114" r:id="rId47" xr:uid="{6B4DD257-4848-4105-87AD-AC2782A70C88}"/>
    <hyperlink ref="E95" r:id="rId48" xr:uid="{5450A3C8-AA30-41AD-8BA7-5B4D13E0B4A4}"/>
    <hyperlink ref="E116" r:id="rId49" xr:uid="{4664527F-B6AF-4017-BB90-01BF19607AC8}"/>
    <hyperlink ref="E82" r:id="rId50" xr:uid="{6ED81AC2-7E6A-4E59-9DE6-22AE4468403D}"/>
    <hyperlink ref="E37" r:id="rId51" xr:uid="{ECE12A7C-0950-458A-8ADF-64C5569DF3CF}"/>
    <hyperlink ref="E78" r:id="rId52" xr:uid="{7F2B5FAF-E7CD-4032-A6C3-39B89DFFFBAB}"/>
    <hyperlink ref="E68" r:id="rId53" xr:uid="{4897E200-4988-4F06-BD4D-12A5D5C98E84}"/>
    <hyperlink ref="E47" r:id="rId54" xr:uid="{D91E98C3-60F0-42E8-A24E-D306AC38DEE6}"/>
    <hyperlink ref="E31" r:id="rId55" xr:uid="{089DC9AF-CA70-4F60-A8D1-2F44DB3B0568}"/>
    <hyperlink ref="E103" r:id="rId56" xr:uid="{7F87BA2C-D778-4F8C-B58C-04D270D7BB06}"/>
    <hyperlink ref="E18" r:id="rId57" xr:uid="{0B2A986C-12EA-4874-94E5-594AB27D8427}"/>
    <hyperlink ref="E41" r:id="rId58" xr:uid="{59A1BA36-881C-4F4D-B9C5-2A326ABC3214}"/>
    <hyperlink ref="E48" r:id="rId59" xr:uid="{8D5BF694-E49F-43DC-8FAB-E46686B7FDDC}"/>
    <hyperlink ref="E28" r:id="rId60" location=":~:text=%E3%80%8C%E8%87%AA%E7%84%B6%E8%B3%87%E6%9C%AC%E3%80%8D%E3%81%A8%E3%81%AF%E3%80%81,%E3%81%A8%E3%81%97%E3%81%A6%E4%BD%8D%E7%BD%AE%E3%81%A5%E3%81%91%E3%81%9F%E3%82%82%E3%81%AE%E3%81%A7%E3%81%99%E3%80%82" display="https://www.conservation.org/japan/initiatives/natural-capital#:~:text=%E3%80%8C%E8%87%AA%E7%84%B6%E8%B3%87%E6%9C%AC%E3%80%8D%E3%81%A8%E3%81%AF%E3%80%81,%E3%81%A8%E3%81%97%E3%81%A6%E4%BD%8D%E7%BD%AE%E3%81%A5%E3%81%91%E3%81%9F%E3%82%82%E3%81%AE%E3%81%A7%E3%81%99%E3%80%82" xr:uid="{17C015C2-A714-4529-B96C-9CD0D79BF79A}"/>
    <hyperlink ref="E56" r:id="rId61" xr:uid="{19BB4B67-D1A3-4EAA-B8C2-DB3941A56F17}"/>
    <hyperlink ref="E124" r:id="rId62" xr:uid="{1B9FFF47-ED13-4FDD-B121-DF70EE1AC0A3}"/>
    <hyperlink ref="E115" r:id="rId63" xr:uid="{301FA9B2-DFEE-4048-A8CC-AE618E24A1EE}"/>
    <hyperlink ref="E74" r:id="rId64" xr:uid="{C97DD555-9214-42F2-9CF4-78E0E3397052}"/>
    <hyperlink ref="E25" r:id="rId65" xr:uid="{D8D4AF6C-37EE-4614-8FA0-6D96910D4BF9}"/>
    <hyperlink ref="E83" r:id="rId66" xr:uid="{747A6B86-D87B-4D99-8B31-DE6A5A07275D}"/>
    <hyperlink ref="E70" r:id="rId67" xr:uid="{3F81B98A-DBEA-44DE-B444-68DE50DBCB05}"/>
    <hyperlink ref="E107" r:id="rId68" xr:uid="{3376D1E1-DB24-4B6D-9AA6-FB08FEE08335}"/>
    <hyperlink ref="E87" r:id="rId69" xr:uid="{78E69605-5934-4A17-ADF1-21AA26EB298F}"/>
    <hyperlink ref="E58" r:id="rId70" xr:uid="{0DBDED2C-7368-4634-B4A9-0AA79492E050}"/>
    <hyperlink ref="E50" r:id="rId71" xr:uid="{71368F4C-F1EE-47B5-9E84-1104F9119FE9}"/>
    <hyperlink ref="E22" r:id="rId72" location="sectors" xr:uid="{6AAD8353-3D0B-4172-A9EE-9D66518DB9B5}"/>
    <hyperlink ref="E98" r:id="rId73" xr:uid="{AA3A29CC-2509-42A7-BEB3-B9630F923E17}"/>
    <hyperlink ref="E6" r:id="rId74" xr:uid="{E6FF54F4-000A-4282-8399-6F071D6A676C}"/>
    <hyperlink ref="E63" r:id="rId75" xr:uid="{813F844F-679C-459D-8881-81F011B99355}"/>
    <hyperlink ref="E77" r:id="rId76" xr:uid="{1E27C1A3-F735-4F45-B2A0-69F3331921A3}"/>
    <hyperlink ref="E99" r:id="rId77" xr:uid="{7521DB3C-D520-4AC2-BDBF-E9830561473E}"/>
    <hyperlink ref="E54" r:id="rId78" xr:uid="{319079A7-FAE4-48D4-B4DB-15D5C43978F6}"/>
    <hyperlink ref="E24" r:id="rId79" xr:uid="{9DD1135F-402C-4858-AB06-568521DF69CE}"/>
    <hyperlink ref="E94" r:id="rId80" xr:uid="{D6BBC210-5825-4CBA-A80E-7A508A93060C}"/>
    <hyperlink ref="E109" r:id="rId81" xr:uid="{8FA27679-562E-42FA-94C9-A46E20031C4A}"/>
    <hyperlink ref="E14" r:id="rId82" xr:uid="{F90693AA-9377-402E-8A58-8864E5A93CAE}"/>
    <hyperlink ref="E96" r:id="rId83" xr:uid="{815ABDEA-9366-4E28-A718-DEACB86EDA17}"/>
    <hyperlink ref="E71" r:id="rId84" xr:uid="{B6B73941-5454-4ADC-AAF3-F9632AC55BB5}"/>
    <hyperlink ref="E15" r:id="rId85" xr:uid="{64730FE6-BCE2-48DA-B82B-30C914E0A93F}"/>
    <hyperlink ref="E119" r:id="rId86" xr:uid="{BD71E77A-C987-44E5-9836-79CD140CBB7F}"/>
    <hyperlink ref="E36" r:id="rId87" xr:uid="{928E502B-6163-423C-B9F0-C5BF0B931FE5}"/>
    <hyperlink ref="E5" r:id="rId88" xr:uid="{4EB86FEC-95B2-4678-8436-03B9BE7C2782}"/>
    <hyperlink ref="E102" r:id="rId89" xr:uid="{AF0906B5-A058-476E-9076-737656A2E3BF}"/>
    <hyperlink ref="E112" r:id="rId90" xr:uid="{5BC774D3-145E-4AB1-A70B-D39C441F3CC9}"/>
    <hyperlink ref="E104" r:id="rId91" xr:uid="{AD6C5B9D-4D34-4808-8E89-7F529ED76BEB}"/>
    <hyperlink ref="E105" r:id="rId92" xr:uid="{60BD1277-8473-435B-B0AA-548E5E794E05}"/>
    <hyperlink ref="E84" r:id="rId93" xr:uid="{3F575C6F-2AC7-49EE-82AC-F6C444165EAF}"/>
    <hyperlink ref="E110" r:id="rId94" xr:uid="{B282CF53-105A-4B5E-9B37-605EE69321A3}"/>
    <hyperlink ref="E92" r:id="rId95" xr:uid="{12A11873-4968-4C17-9FF6-68C73012E0F2}"/>
    <hyperlink ref="E89" r:id="rId96" xr:uid="{1E9549FA-E482-4C9B-AAE6-7CE88D37C4BF}"/>
    <hyperlink ref="E52" r:id="rId97" xr:uid="{D5D74F6F-9CD0-4B00-B0DE-F19A8CBC1145}"/>
    <hyperlink ref="E69" r:id="rId98" xr:uid="{48E70B60-D666-4DEE-BDB3-A62A6703A440}"/>
    <hyperlink ref="E59" r:id="rId99" xr:uid="{C3DDE3A7-8C57-4558-B9DC-FE209C8DBE6C}"/>
    <hyperlink ref="E43" r:id="rId100" xr:uid="{964FF854-951D-4D80-AA9A-2230F936FF95}"/>
    <hyperlink ref="E21" r:id="rId101" xr:uid="{8A963B93-5C49-478B-8C94-31CA8F1EBB80}"/>
    <hyperlink ref="E106" r:id="rId102" xr:uid="{274C8E96-D170-45DD-AB42-4D5B19996EC3}"/>
    <hyperlink ref="E61" r:id="rId103" xr:uid="{EB27BB65-D021-41F1-B3D4-251B3AD9C02D}"/>
    <hyperlink ref="E85" r:id="rId104" xr:uid="{AC90902D-049F-427D-9AEE-084230E39104}"/>
    <hyperlink ref="E97" r:id="rId105" xr:uid="{B9C676EC-2F74-4514-A184-CB6CD905642D}"/>
    <hyperlink ref="E10" r:id="rId106" xr:uid="{57B69809-BF93-4FDC-A45C-7B6C9473E8BB}"/>
    <hyperlink ref="E81" r:id="rId107" xr:uid="{DB12EBDB-BD3D-47C8-A7AF-A2C6BC54022D}"/>
    <hyperlink ref="E88" r:id="rId108" xr:uid="{AE578741-0E5E-43A6-9B47-D8F89B5344D3}"/>
    <hyperlink ref="E12" r:id="rId109" xr:uid="{E9805D89-62ED-4D43-8121-26D17E03BF97}"/>
    <hyperlink ref="E79" r:id="rId110" xr:uid="{02936B9D-E1EB-41DD-A386-3E273D6FBD40}"/>
    <hyperlink ref="E90" r:id="rId111" xr:uid="{642CD22E-CA78-4649-A49D-EE4D155EDFAF}"/>
    <hyperlink ref="E39" r:id="rId112" xr:uid="{F75A63B0-593A-437A-846C-3A631E6353AE}"/>
    <hyperlink ref="E34" r:id="rId113" xr:uid="{80006753-3370-481B-B193-BF96FF69772B}"/>
    <hyperlink ref="E120" r:id="rId114" xr:uid="{07D4B4CB-9151-4DB1-B15C-B7D89B19B87B}"/>
    <hyperlink ref="E26" r:id="rId115" xr:uid="{CD529BAD-0A20-4026-9269-F2A412D8DE01}"/>
    <hyperlink ref="E65" r:id="rId116" xr:uid="{B88BA015-FCB5-4139-962D-29B1C95902D1}"/>
    <hyperlink ref="E42" r:id="rId117" xr:uid="{F8DC161C-4C73-41F1-A3D0-AD5D4BA9FA5E}"/>
    <hyperlink ref="E123" r:id="rId118" xr:uid="{F75B10CB-F9B9-4AB4-B3A2-17977D246C8E}"/>
    <hyperlink ref="E16" r:id="rId119" xr:uid="{C4EC07F9-D241-42D1-B6FA-9A0360A1B65B}"/>
    <hyperlink ref="E11" r:id="rId120" xr:uid="{52641D58-E5B0-4840-B627-8D498DF06F2D}"/>
    <hyperlink ref="E93" r:id="rId121" xr:uid="{43A360AA-3205-3144-B71E-51A01A23FBD6}"/>
    <hyperlink ref="E126" r:id="rId122" xr:uid="{3C3FE397-E1A1-44C0-9F77-7FBD4BAC120B}"/>
  </hyperlinks>
  <printOptions horizontalCentered="1"/>
  <pageMargins left="0.25" right="0.25" top="0.75" bottom="0.75" header="0.3" footer="0.3"/>
  <pageSetup paperSize="9" fitToHeight="0" orientation="landscape" r:id="rId123"/>
  <headerFooter differentFirst="1">
    <oddFooter>Page &amp;P of &amp;N</oddFooter>
  </headerFooter>
  <tableParts count="1">
    <tablePart r:id="rId12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4AE9E"/>
    <pageSetUpPr autoPageBreaks="0" fitToPage="1"/>
  </sheetPr>
  <dimension ref="B1:K55"/>
  <sheetViews>
    <sheetView showGridLines="0" zoomScaleNormal="100" workbookViewId="0">
      <selection activeCell="P7" sqref="P7"/>
    </sheetView>
  </sheetViews>
  <sheetFormatPr defaultColWidth="8.94921875" defaultRowHeight="30" customHeight="1" x14ac:dyDescent="0.2"/>
  <cols>
    <col min="1" max="1" width="2.57421875" style="2" customWidth="1"/>
    <col min="2" max="2" width="14.09765625" style="5" customWidth="1"/>
    <col min="3" max="3" width="15.19921875" style="2" customWidth="1"/>
    <col min="4" max="4" width="21.94140625" style="2" customWidth="1"/>
    <col min="5" max="5" width="13.8515625" style="2" customWidth="1"/>
    <col min="6" max="6" width="33.7109375" style="2" customWidth="1"/>
    <col min="7" max="7" width="35.55078125" style="2" customWidth="1"/>
    <col min="8" max="10" width="14.5859375" style="2" customWidth="1"/>
    <col min="11" max="11" width="18.75390625" style="2" customWidth="1"/>
    <col min="12" max="12" width="2.57421875" style="2" customWidth="1"/>
    <col min="13" max="14" width="7.96484375" style="2"/>
    <col min="15" max="18" width="10.54296875" style="2" customWidth="1"/>
    <col min="19" max="19" width="7.96484375" style="2"/>
    <col min="20" max="16384" width="8.94921875" style="2"/>
  </cols>
  <sheetData>
    <row r="1" spans="2:11" ht="33.75" customHeight="1" x14ac:dyDescent="0.25">
      <c r="B1" s="1" t="s">
        <v>285</v>
      </c>
      <c r="C1" s="1"/>
      <c r="D1" s="1"/>
      <c r="E1" s="1"/>
      <c r="F1" s="1"/>
      <c r="G1" s="1"/>
      <c r="H1" s="1"/>
      <c r="I1" s="1"/>
      <c r="J1" s="1"/>
    </row>
    <row r="2" spans="2:11" s="4" customFormat="1" ht="47.25" customHeight="1" x14ac:dyDescent="0.15">
      <c r="B2" s="3" t="s">
        <v>284</v>
      </c>
      <c r="C2" s="3"/>
      <c r="D2" s="3"/>
      <c r="E2" s="3"/>
      <c r="F2" s="3"/>
      <c r="G2" s="3"/>
      <c r="H2" s="3"/>
      <c r="I2" s="3"/>
      <c r="J2" s="3"/>
    </row>
    <row r="3" spans="2:11" ht="30" customHeight="1" x14ac:dyDescent="0.15">
      <c r="B3" s="7" t="s">
        <v>16</v>
      </c>
      <c r="C3" s="6" t="s">
        <v>17</v>
      </c>
      <c r="D3" s="6" t="s">
        <v>18</v>
      </c>
      <c r="E3" s="6" t="s">
        <v>19</v>
      </c>
      <c r="F3" s="6" t="s">
        <v>291</v>
      </c>
      <c r="G3" s="6" t="s">
        <v>20</v>
      </c>
      <c r="H3" s="6" t="s">
        <v>292</v>
      </c>
      <c r="I3" s="6" t="s">
        <v>293</v>
      </c>
      <c r="J3" s="6" t="s">
        <v>21</v>
      </c>
      <c r="K3" s="6" t="s">
        <v>294</v>
      </c>
    </row>
    <row r="4" spans="2:11" ht="30" customHeight="1" x14ac:dyDescent="0.15">
      <c r="B4" s="8">
        <v>1</v>
      </c>
      <c r="C4" s="9"/>
      <c r="D4" s="2" t="str">
        <f>IF(営業の電話ログ[[#This Row],[Name]]="","",IFERROR(VLOOKUP(営業の電話ログ[[#This Row],[Name]],クライアントの連絡先情報[],2,0),"Not Found"))</f>
        <v/>
      </c>
      <c r="E4" s="10">
        <f ca="1">TODAY()-5</f>
        <v>45309</v>
      </c>
      <c r="F4" s="11"/>
      <c r="G4" s="11"/>
      <c r="H4" s="11"/>
      <c r="I4" s="11"/>
      <c r="J4" s="11"/>
    </row>
    <row r="5" spans="2:11" ht="30" customHeight="1" x14ac:dyDescent="0.15">
      <c r="B5" s="8">
        <v>2</v>
      </c>
      <c r="C5" s="9"/>
      <c r="D5" s="2" t="str">
        <f>IF(営業の電話ログ[[#This Row],[Name]]="","",IFERROR(VLOOKUP(営業の電話ログ[[#This Row],[Name]],クライアントの連絡先情報[],2,0),"Not Found"))</f>
        <v/>
      </c>
      <c r="E5" s="10">
        <f t="shared" ref="E5:E8" ca="1" si="0">TODAY()-5</f>
        <v>45309</v>
      </c>
      <c r="F5" s="11"/>
      <c r="G5" s="11"/>
      <c r="H5" s="11"/>
      <c r="I5" s="11"/>
      <c r="J5" s="11"/>
    </row>
    <row r="6" spans="2:11" ht="30" customHeight="1" x14ac:dyDescent="0.15">
      <c r="B6" s="8">
        <v>3</v>
      </c>
      <c r="C6" s="9"/>
      <c r="D6" s="2" t="str">
        <f>IF(営業の電話ログ[[#This Row],[Name]]="","",IFERROR(VLOOKUP(営業の電話ログ[[#This Row],[Name]],クライアントの連絡先情報[],2,0),"Not Found"))</f>
        <v/>
      </c>
      <c r="E6" s="10">
        <f t="shared" ca="1" si="0"/>
        <v>45309</v>
      </c>
      <c r="F6" s="11"/>
      <c r="G6" s="11"/>
      <c r="H6" s="11"/>
      <c r="I6" s="11"/>
      <c r="J6" s="11"/>
    </row>
    <row r="7" spans="2:11" ht="30" customHeight="1" x14ac:dyDescent="0.15">
      <c r="B7" s="8">
        <v>4</v>
      </c>
      <c r="C7" s="9"/>
      <c r="D7" s="2" t="str">
        <f>IF(営業の電話ログ[[#This Row],[Name]]="","",IFERROR(VLOOKUP(営業の電話ログ[[#This Row],[Name]],クライアントの連絡先情報[],2,0),"Not Found"))</f>
        <v/>
      </c>
      <c r="E7" s="10">
        <f t="shared" ca="1" si="0"/>
        <v>45309</v>
      </c>
      <c r="F7" s="11"/>
      <c r="G7" s="11"/>
      <c r="H7" s="11"/>
      <c r="I7" s="11"/>
      <c r="J7" s="11"/>
    </row>
    <row r="8" spans="2:11" ht="30" customHeight="1" x14ac:dyDescent="0.15">
      <c r="B8" s="8">
        <v>5</v>
      </c>
      <c r="C8" s="9"/>
      <c r="D8" s="2" t="str">
        <f>IF(営業の電話ログ[[#This Row],[Name]]="","",IFERROR(VLOOKUP(営業の電話ログ[[#This Row],[Name]],クライアントの連絡先情報[],2,0),"Not Found"))</f>
        <v/>
      </c>
      <c r="E8" s="10">
        <f t="shared" ca="1" si="0"/>
        <v>45309</v>
      </c>
      <c r="F8" s="11"/>
      <c r="G8" s="11"/>
      <c r="H8" s="11"/>
      <c r="I8" s="11"/>
      <c r="J8" s="11"/>
    </row>
    <row r="9" spans="2:11" ht="30" customHeight="1" x14ac:dyDescent="0.15">
      <c r="B9" s="8">
        <v>6</v>
      </c>
      <c r="C9" s="9"/>
      <c r="D9" s="2" t="str">
        <f>IF(営業の電話ログ[[#This Row],[Name]]="","",IFERROR(VLOOKUP(営業の電話ログ[[#This Row],[Name]],クライアントの連絡先情報[],2,0),"Not Found"))</f>
        <v/>
      </c>
      <c r="E9" s="10">
        <f ca="1">TODAY()-3</f>
        <v>45311</v>
      </c>
      <c r="F9" s="11"/>
      <c r="G9" s="11"/>
      <c r="H9" s="11"/>
      <c r="I9" s="11"/>
      <c r="J9" s="11"/>
    </row>
    <row r="10" spans="2:11" ht="30" customHeight="1" x14ac:dyDescent="0.15">
      <c r="B10" s="8">
        <v>7</v>
      </c>
      <c r="C10" s="9"/>
      <c r="D10" s="2" t="str">
        <f>IF(営業の電話ログ[[#This Row],[Name]]="","",IFERROR(VLOOKUP(営業の電話ログ[[#This Row],[Name]],クライアントの連絡先情報[],2,0),"Not Found"))</f>
        <v/>
      </c>
      <c r="E10" s="10">
        <f ca="1">TODAY()-3</f>
        <v>45311</v>
      </c>
      <c r="F10" s="11"/>
      <c r="G10" s="11"/>
      <c r="H10" s="11"/>
      <c r="I10" s="11"/>
      <c r="J10" s="11"/>
    </row>
    <row r="11" spans="2:11" ht="30" customHeight="1" x14ac:dyDescent="0.15">
      <c r="B11" s="8">
        <v>8</v>
      </c>
      <c r="C11" s="9"/>
      <c r="D11" s="2" t="str">
        <f>IF(営業の電話ログ[[#This Row],[Name]]="","",IFERROR(VLOOKUP(営業の電話ログ[[#This Row],[Name]],クライアントの連絡先情報[],2,0),"Not Found"))</f>
        <v/>
      </c>
      <c r="E11" s="10">
        <f t="shared" ref="E11:E55" ca="1" si="1">TODAY()-3</f>
        <v>45311</v>
      </c>
      <c r="F11" s="11"/>
      <c r="G11" s="11"/>
      <c r="H11" s="11"/>
      <c r="I11" s="11"/>
      <c r="J11" s="11"/>
    </row>
    <row r="12" spans="2:11" ht="30" customHeight="1" x14ac:dyDescent="0.15">
      <c r="B12" s="8">
        <v>9</v>
      </c>
      <c r="C12" s="9"/>
      <c r="D12" s="2" t="str">
        <f>IF(営業の電話ログ[[#This Row],[Name]]="","",IFERROR(VLOOKUP(営業の電話ログ[[#This Row],[Name]],クライアントの連絡先情報[],2,0),"Not Found"))</f>
        <v/>
      </c>
      <c r="E12" s="10">
        <f t="shared" ca="1" si="1"/>
        <v>45311</v>
      </c>
      <c r="F12" s="11"/>
      <c r="G12" s="11"/>
      <c r="H12" s="11"/>
      <c r="I12" s="11"/>
      <c r="J12" s="11"/>
    </row>
    <row r="13" spans="2:11" ht="30" customHeight="1" x14ac:dyDescent="0.15">
      <c r="B13" s="8">
        <v>10</v>
      </c>
      <c r="C13" s="9"/>
      <c r="D13" s="2" t="str">
        <f>IF(営業の電話ログ[[#This Row],[Name]]="","",IFERROR(VLOOKUP(営業の電話ログ[[#This Row],[Name]],クライアントの連絡先情報[],2,0),"Not Found"))</f>
        <v/>
      </c>
      <c r="E13" s="10">
        <f t="shared" ca="1" si="1"/>
        <v>45311</v>
      </c>
      <c r="F13" s="11"/>
      <c r="G13" s="11"/>
      <c r="H13" s="11"/>
      <c r="I13" s="11"/>
      <c r="J13" s="11"/>
    </row>
    <row r="14" spans="2:11" ht="30" customHeight="1" x14ac:dyDescent="0.15">
      <c r="B14" s="8">
        <v>11</v>
      </c>
      <c r="C14" s="9"/>
      <c r="D14" s="2" t="str">
        <f>IF(営業の電話ログ[[#This Row],[Name]]="","",IFERROR(VLOOKUP(営業の電話ログ[[#This Row],[Name]],クライアントの連絡先情報[],2,0),"Not Found"))</f>
        <v/>
      </c>
      <c r="E14" s="10">
        <f t="shared" ca="1" si="1"/>
        <v>45311</v>
      </c>
      <c r="F14" s="11"/>
      <c r="G14" s="11"/>
      <c r="H14" s="11"/>
      <c r="I14" s="11"/>
      <c r="J14" s="11"/>
    </row>
    <row r="15" spans="2:11" ht="30" customHeight="1" x14ac:dyDescent="0.15">
      <c r="B15" s="8">
        <v>12</v>
      </c>
      <c r="C15" s="9"/>
      <c r="D15" s="2" t="str">
        <f>IF(営業の電話ログ[[#This Row],[Name]]="","",IFERROR(VLOOKUP(営業の電話ログ[[#This Row],[Name]],クライアントの連絡先情報[],2,0),"Not Found"))</f>
        <v/>
      </c>
      <c r="E15" s="10">
        <f t="shared" ca="1" si="1"/>
        <v>45311</v>
      </c>
      <c r="F15" s="11"/>
      <c r="G15" s="11"/>
      <c r="H15" s="11"/>
      <c r="I15" s="11"/>
      <c r="J15" s="11"/>
    </row>
    <row r="16" spans="2:11" ht="30" customHeight="1" x14ac:dyDescent="0.15">
      <c r="B16" s="8">
        <v>13</v>
      </c>
      <c r="C16" s="9"/>
      <c r="D16" s="2" t="str">
        <f>IF(営業の電話ログ[[#This Row],[Name]]="","",IFERROR(VLOOKUP(営業の電話ログ[[#This Row],[Name]],クライアントの連絡先情報[],2,0),"Not Found"))</f>
        <v/>
      </c>
      <c r="E16" s="10">
        <f t="shared" ca="1" si="1"/>
        <v>45311</v>
      </c>
      <c r="F16" s="11"/>
      <c r="G16" s="11"/>
      <c r="H16" s="11"/>
      <c r="I16" s="11"/>
      <c r="J16" s="11"/>
    </row>
    <row r="17" spans="2:10" ht="30" customHeight="1" x14ac:dyDescent="0.15">
      <c r="B17" s="8">
        <v>14</v>
      </c>
      <c r="C17" s="9"/>
      <c r="D17" s="2" t="str">
        <f>IF(営業の電話ログ[[#This Row],[Name]]="","",IFERROR(VLOOKUP(営業の電話ログ[[#This Row],[Name]],クライアントの連絡先情報[],2,0),"Not Found"))</f>
        <v/>
      </c>
      <c r="E17" s="10">
        <f t="shared" ca="1" si="1"/>
        <v>45311</v>
      </c>
      <c r="F17" s="11"/>
      <c r="G17" s="11"/>
      <c r="H17" s="11"/>
      <c r="I17" s="11"/>
      <c r="J17" s="11"/>
    </row>
    <row r="18" spans="2:10" ht="30" customHeight="1" x14ac:dyDescent="0.15">
      <c r="B18" s="8">
        <v>15</v>
      </c>
      <c r="C18" s="9"/>
      <c r="D18" s="2" t="str">
        <f>IF(営業の電話ログ[[#This Row],[Name]]="","",IFERROR(VLOOKUP(営業の電話ログ[[#This Row],[Name]],クライアントの連絡先情報[],2,0),"Not Found"))</f>
        <v/>
      </c>
      <c r="E18" s="10">
        <f t="shared" ca="1" si="1"/>
        <v>45311</v>
      </c>
      <c r="F18" s="11"/>
      <c r="G18" s="11"/>
      <c r="H18" s="11"/>
      <c r="I18" s="11"/>
      <c r="J18" s="11"/>
    </row>
    <row r="19" spans="2:10" ht="30" customHeight="1" x14ac:dyDescent="0.15">
      <c r="B19" s="8">
        <v>16</v>
      </c>
      <c r="C19" s="9"/>
      <c r="D19" s="2" t="str">
        <f>IF(営業の電話ログ[[#This Row],[Name]]="","",IFERROR(VLOOKUP(営業の電話ログ[[#This Row],[Name]],クライアントの連絡先情報[],2,0),"Not Found"))</f>
        <v/>
      </c>
      <c r="E19" s="10">
        <f t="shared" ca="1" si="1"/>
        <v>45311</v>
      </c>
      <c r="F19" s="11"/>
      <c r="G19" s="11"/>
      <c r="H19" s="11"/>
      <c r="I19" s="11"/>
      <c r="J19" s="11"/>
    </row>
    <row r="20" spans="2:10" ht="30" customHeight="1" x14ac:dyDescent="0.15">
      <c r="B20" s="8">
        <v>17</v>
      </c>
      <c r="C20" s="9"/>
      <c r="D20" s="2" t="str">
        <f>IF(営業の電話ログ[[#This Row],[Name]]="","",IFERROR(VLOOKUP(営業の電話ログ[[#This Row],[Name]],クライアントの連絡先情報[],2,0),"Not Found"))</f>
        <v/>
      </c>
      <c r="E20" s="10">
        <f t="shared" ca="1" si="1"/>
        <v>45311</v>
      </c>
      <c r="F20" s="11"/>
      <c r="G20" s="11"/>
      <c r="H20" s="11"/>
      <c r="I20" s="11"/>
      <c r="J20" s="11"/>
    </row>
    <row r="21" spans="2:10" ht="30" customHeight="1" x14ac:dyDescent="0.15">
      <c r="B21" s="8">
        <v>18</v>
      </c>
      <c r="C21" s="9"/>
      <c r="D21" s="2" t="str">
        <f>IF(営業の電話ログ[[#This Row],[Name]]="","",IFERROR(VLOOKUP(営業の電話ログ[[#This Row],[Name]],クライアントの連絡先情報[],2,0),"Not Found"))</f>
        <v/>
      </c>
      <c r="E21" s="10">
        <f t="shared" ca="1" si="1"/>
        <v>45311</v>
      </c>
      <c r="F21" s="11"/>
      <c r="G21" s="11"/>
      <c r="H21" s="11"/>
      <c r="I21" s="11"/>
      <c r="J21" s="11"/>
    </row>
    <row r="22" spans="2:10" ht="30" customHeight="1" x14ac:dyDescent="0.15">
      <c r="B22" s="8">
        <v>19</v>
      </c>
      <c r="C22" s="9"/>
      <c r="D22" s="2" t="str">
        <f>IF(営業の電話ログ[[#This Row],[Name]]="","",IFERROR(VLOOKUP(営業の電話ログ[[#This Row],[Name]],クライアントの連絡先情報[],2,0),"Not Found"))</f>
        <v/>
      </c>
      <c r="E22" s="10">
        <f t="shared" ca="1" si="1"/>
        <v>45311</v>
      </c>
      <c r="F22" s="11"/>
      <c r="G22" s="11"/>
      <c r="H22" s="11"/>
      <c r="I22" s="11"/>
      <c r="J22" s="11"/>
    </row>
    <row r="23" spans="2:10" ht="30" customHeight="1" x14ac:dyDescent="0.15">
      <c r="B23" s="8">
        <v>20</v>
      </c>
      <c r="C23" s="9"/>
      <c r="D23" s="2" t="str">
        <f>IF(営業の電話ログ[[#This Row],[Name]]="","",IFERROR(VLOOKUP(営業の電話ログ[[#This Row],[Name]],クライアントの連絡先情報[],2,0),"Not Found"))</f>
        <v/>
      </c>
      <c r="E23" s="10">
        <f t="shared" ca="1" si="1"/>
        <v>45311</v>
      </c>
      <c r="F23" s="11"/>
      <c r="G23" s="11"/>
      <c r="H23" s="11"/>
      <c r="I23" s="11"/>
      <c r="J23" s="11"/>
    </row>
    <row r="24" spans="2:10" ht="30" customHeight="1" x14ac:dyDescent="0.15">
      <c r="B24" s="8">
        <v>21</v>
      </c>
      <c r="C24" s="9"/>
      <c r="D24" s="2" t="str">
        <f>IF(営業の電話ログ[[#This Row],[Name]]="","",IFERROR(VLOOKUP(営業の電話ログ[[#This Row],[Name]],クライアントの連絡先情報[],2,0),"Not Found"))</f>
        <v/>
      </c>
      <c r="E24" s="10">
        <f t="shared" ca="1" si="1"/>
        <v>45311</v>
      </c>
      <c r="F24" s="11"/>
      <c r="G24" s="11"/>
      <c r="H24" s="11"/>
      <c r="I24" s="11"/>
      <c r="J24" s="11"/>
    </row>
    <row r="25" spans="2:10" ht="30" customHeight="1" x14ac:dyDescent="0.15">
      <c r="B25" s="8">
        <v>22</v>
      </c>
      <c r="C25" s="9"/>
      <c r="D25" s="2" t="str">
        <f>IF(営業の電話ログ[[#This Row],[Name]]="","",IFERROR(VLOOKUP(営業の電話ログ[[#This Row],[Name]],クライアントの連絡先情報[],2,0),"Not Found"))</f>
        <v/>
      </c>
      <c r="E25" s="10">
        <f t="shared" ca="1" si="1"/>
        <v>45311</v>
      </c>
      <c r="F25" s="11"/>
      <c r="G25" s="11"/>
      <c r="H25" s="11"/>
      <c r="I25" s="11"/>
      <c r="J25" s="11"/>
    </row>
    <row r="26" spans="2:10" ht="30" customHeight="1" x14ac:dyDescent="0.15">
      <c r="B26" s="8">
        <v>23</v>
      </c>
      <c r="C26" s="9"/>
      <c r="D26" s="2" t="str">
        <f>IF(営業の電話ログ[[#This Row],[Name]]="","",IFERROR(VLOOKUP(営業の電話ログ[[#This Row],[Name]],クライアントの連絡先情報[],2,0),"Not Found"))</f>
        <v/>
      </c>
      <c r="E26" s="10">
        <f t="shared" ca="1" si="1"/>
        <v>45311</v>
      </c>
      <c r="F26" s="11"/>
      <c r="G26" s="11"/>
      <c r="H26" s="11"/>
      <c r="I26" s="11"/>
      <c r="J26" s="11"/>
    </row>
    <row r="27" spans="2:10" ht="30" customHeight="1" x14ac:dyDescent="0.15">
      <c r="B27" s="8">
        <v>24</v>
      </c>
      <c r="C27" s="9"/>
      <c r="D27" s="2" t="str">
        <f>IF(営業の電話ログ[[#This Row],[Name]]="","",IFERROR(VLOOKUP(営業の電話ログ[[#This Row],[Name]],クライアントの連絡先情報[],2,0),"Not Found"))</f>
        <v/>
      </c>
      <c r="E27" s="10">
        <f t="shared" ca="1" si="1"/>
        <v>45311</v>
      </c>
      <c r="F27" s="11"/>
      <c r="G27" s="11"/>
      <c r="H27" s="11"/>
      <c r="I27" s="11"/>
      <c r="J27" s="11"/>
    </row>
    <row r="28" spans="2:10" ht="30" customHeight="1" x14ac:dyDescent="0.15">
      <c r="B28" s="8">
        <v>25</v>
      </c>
      <c r="C28" s="9"/>
      <c r="D28" s="2" t="str">
        <f>IF(営業の電話ログ[[#This Row],[Name]]="","",IFERROR(VLOOKUP(営業の電話ログ[[#This Row],[Name]],クライアントの連絡先情報[],2,0),"Not Found"))</f>
        <v/>
      </c>
      <c r="E28" s="10">
        <f t="shared" ca="1" si="1"/>
        <v>45311</v>
      </c>
      <c r="F28" s="11"/>
      <c r="G28" s="11"/>
      <c r="H28" s="11"/>
      <c r="I28" s="11"/>
      <c r="J28" s="11"/>
    </row>
    <row r="29" spans="2:10" ht="30" customHeight="1" x14ac:dyDescent="0.15">
      <c r="B29" s="8">
        <v>26</v>
      </c>
      <c r="C29" s="9"/>
      <c r="D29" s="2" t="str">
        <f>IF(営業の電話ログ[[#This Row],[Name]]="","",IFERROR(VLOOKUP(営業の電話ログ[[#This Row],[Name]],クライアントの連絡先情報[],2,0),"Not Found"))</f>
        <v/>
      </c>
      <c r="E29" s="10">
        <f t="shared" ca="1" si="1"/>
        <v>45311</v>
      </c>
      <c r="F29" s="11"/>
      <c r="G29" s="11"/>
      <c r="H29" s="11"/>
      <c r="I29" s="11"/>
      <c r="J29" s="11"/>
    </row>
    <row r="30" spans="2:10" ht="30" customHeight="1" x14ac:dyDescent="0.15">
      <c r="B30" s="8">
        <v>27</v>
      </c>
      <c r="C30" s="9"/>
      <c r="D30" s="2" t="str">
        <f>IF(営業の電話ログ[[#This Row],[Name]]="","",IFERROR(VLOOKUP(営業の電話ログ[[#This Row],[Name]],クライアントの連絡先情報[],2,0),"Not Found"))</f>
        <v/>
      </c>
      <c r="E30" s="10">
        <f t="shared" ca="1" si="1"/>
        <v>45311</v>
      </c>
      <c r="F30" s="11"/>
      <c r="G30" s="11"/>
      <c r="H30" s="11"/>
      <c r="I30" s="11"/>
      <c r="J30" s="11"/>
    </row>
    <row r="31" spans="2:10" ht="30" customHeight="1" x14ac:dyDescent="0.15">
      <c r="B31" s="8">
        <v>28</v>
      </c>
      <c r="C31" s="9"/>
      <c r="D31" s="2" t="str">
        <f>IF(営業の電話ログ[[#This Row],[Name]]="","",IFERROR(VLOOKUP(営業の電話ログ[[#This Row],[Name]],クライアントの連絡先情報[],2,0),"Not Found"))</f>
        <v/>
      </c>
      <c r="E31" s="10">
        <f t="shared" ca="1" si="1"/>
        <v>45311</v>
      </c>
      <c r="F31" s="11"/>
      <c r="G31" s="11"/>
      <c r="H31" s="11"/>
      <c r="I31" s="11"/>
      <c r="J31" s="11"/>
    </row>
    <row r="32" spans="2:10" ht="30" customHeight="1" x14ac:dyDescent="0.15">
      <c r="B32" s="8">
        <v>29</v>
      </c>
      <c r="C32" s="9"/>
      <c r="D32" s="2" t="str">
        <f>IF(営業の電話ログ[[#This Row],[Name]]="","",IFERROR(VLOOKUP(営業の電話ログ[[#This Row],[Name]],クライアントの連絡先情報[],2,0),"Not Found"))</f>
        <v/>
      </c>
      <c r="E32" s="10">
        <f t="shared" ca="1" si="1"/>
        <v>45311</v>
      </c>
      <c r="F32" s="11"/>
      <c r="G32" s="11"/>
      <c r="H32" s="11"/>
      <c r="I32" s="11"/>
      <c r="J32" s="11"/>
    </row>
    <row r="33" spans="2:10" ht="30" customHeight="1" x14ac:dyDescent="0.15">
      <c r="B33" s="8">
        <v>30</v>
      </c>
      <c r="C33" s="9"/>
      <c r="D33" s="2" t="str">
        <f>IF(営業の電話ログ[[#This Row],[Name]]="","",IFERROR(VLOOKUP(営業の電話ログ[[#This Row],[Name]],クライアントの連絡先情報[],2,0),"Not Found"))</f>
        <v/>
      </c>
      <c r="E33" s="10">
        <f t="shared" ca="1" si="1"/>
        <v>45311</v>
      </c>
      <c r="F33" s="11"/>
      <c r="G33" s="11"/>
      <c r="H33" s="11"/>
      <c r="I33" s="11"/>
      <c r="J33" s="11"/>
    </row>
    <row r="34" spans="2:10" ht="30" customHeight="1" x14ac:dyDescent="0.15">
      <c r="B34" s="8">
        <v>31</v>
      </c>
      <c r="C34" s="9"/>
      <c r="D34" s="2" t="str">
        <f>IF(営業の電話ログ[[#This Row],[Name]]="","",IFERROR(VLOOKUP(営業の電話ログ[[#This Row],[Name]],クライアントの連絡先情報[],2,0),"Not Found"))</f>
        <v/>
      </c>
      <c r="E34" s="10">
        <f t="shared" ca="1" si="1"/>
        <v>45311</v>
      </c>
      <c r="F34" s="11"/>
      <c r="G34" s="11"/>
      <c r="H34" s="11"/>
      <c r="I34" s="11"/>
      <c r="J34" s="11"/>
    </row>
    <row r="35" spans="2:10" ht="30" customHeight="1" x14ac:dyDescent="0.15">
      <c r="B35" s="8">
        <v>32</v>
      </c>
      <c r="C35" s="9"/>
      <c r="D35" s="2" t="str">
        <f>IF(営業の電話ログ[[#This Row],[Name]]="","",IFERROR(VLOOKUP(営業の電話ログ[[#This Row],[Name]],クライアントの連絡先情報[],2,0),"Not Found"))</f>
        <v/>
      </c>
      <c r="E35" s="10">
        <f t="shared" ca="1" si="1"/>
        <v>45311</v>
      </c>
      <c r="F35" s="11"/>
      <c r="G35" s="11"/>
      <c r="H35" s="11"/>
      <c r="I35" s="11"/>
      <c r="J35" s="11"/>
    </row>
    <row r="36" spans="2:10" ht="30" customHeight="1" x14ac:dyDescent="0.15">
      <c r="B36" s="8">
        <v>33</v>
      </c>
      <c r="C36" s="9"/>
      <c r="D36" s="2" t="str">
        <f>IF(営業の電話ログ[[#This Row],[Name]]="","",IFERROR(VLOOKUP(営業の電話ログ[[#This Row],[Name]],クライアントの連絡先情報[],2,0),"Not Found"))</f>
        <v/>
      </c>
      <c r="E36" s="10">
        <f t="shared" ca="1" si="1"/>
        <v>45311</v>
      </c>
      <c r="F36" s="11"/>
      <c r="G36" s="11"/>
      <c r="H36" s="11"/>
      <c r="I36" s="11"/>
      <c r="J36" s="11"/>
    </row>
    <row r="37" spans="2:10" ht="30" customHeight="1" x14ac:dyDescent="0.15">
      <c r="B37" s="8">
        <v>34</v>
      </c>
      <c r="C37" s="9"/>
      <c r="D37" s="2" t="str">
        <f>IF(営業の電話ログ[[#This Row],[Name]]="","",IFERROR(VLOOKUP(営業の電話ログ[[#This Row],[Name]],クライアントの連絡先情報[],2,0),"Not Found"))</f>
        <v/>
      </c>
      <c r="E37" s="10">
        <f t="shared" ca="1" si="1"/>
        <v>45311</v>
      </c>
      <c r="F37" s="11"/>
      <c r="G37" s="11"/>
      <c r="H37" s="11"/>
      <c r="I37" s="11"/>
      <c r="J37" s="11"/>
    </row>
    <row r="38" spans="2:10" ht="30" customHeight="1" x14ac:dyDescent="0.15">
      <c r="B38" s="8">
        <v>35</v>
      </c>
      <c r="C38" s="9"/>
      <c r="D38" s="2" t="str">
        <f>IF(営業の電話ログ[[#This Row],[Name]]="","",IFERROR(VLOOKUP(営業の電話ログ[[#This Row],[Name]],クライアントの連絡先情報[],2,0),"Not Found"))</f>
        <v/>
      </c>
      <c r="E38" s="10">
        <f t="shared" ca="1" si="1"/>
        <v>45311</v>
      </c>
      <c r="F38" s="11"/>
      <c r="G38" s="11"/>
      <c r="H38" s="11"/>
      <c r="I38" s="11"/>
      <c r="J38" s="11"/>
    </row>
    <row r="39" spans="2:10" ht="30" customHeight="1" x14ac:dyDescent="0.15">
      <c r="B39" s="8">
        <v>36</v>
      </c>
      <c r="C39" s="9"/>
      <c r="D39" s="2" t="str">
        <f>IF(営業の電話ログ[[#This Row],[Name]]="","",IFERROR(VLOOKUP(営業の電話ログ[[#This Row],[Name]],クライアントの連絡先情報[],2,0),"Not Found"))</f>
        <v/>
      </c>
      <c r="E39" s="10">
        <f t="shared" ca="1" si="1"/>
        <v>45311</v>
      </c>
      <c r="F39" s="11"/>
      <c r="G39" s="11"/>
      <c r="H39" s="11"/>
      <c r="I39" s="11"/>
      <c r="J39" s="11"/>
    </row>
    <row r="40" spans="2:10" ht="30" customHeight="1" x14ac:dyDescent="0.15">
      <c r="B40" s="8">
        <v>37</v>
      </c>
      <c r="C40" s="9"/>
      <c r="D40" s="2" t="str">
        <f>IF(営業の電話ログ[[#This Row],[Name]]="","",IFERROR(VLOOKUP(営業の電話ログ[[#This Row],[Name]],クライアントの連絡先情報[],2,0),"Not Found"))</f>
        <v/>
      </c>
      <c r="E40" s="10">
        <f t="shared" ca="1" si="1"/>
        <v>45311</v>
      </c>
      <c r="F40" s="11"/>
      <c r="G40" s="11"/>
      <c r="H40" s="11"/>
      <c r="I40" s="11"/>
      <c r="J40" s="11"/>
    </row>
    <row r="41" spans="2:10" ht="30" customHeight="1" x14ac:dyDescent="0.15">
      <c r="B41" s="8">
        <v>38</v>
      </c>
      <c r="C41" s="9"/>
      <c r="D41" s="2" t="str">
        <f>IF(営業の電話ログ[[#This Row],[Name]]="","",IFERROR(VLOOKUP(営業の電話ログ[[#This Row],[Name]],クライアントの連絡先情報[],2,0),"Not Found"))</f>
        <v/>
      </c>
      <c r="E41" s="10">
        <f t="shared" ca="1" si="1"/>
        <v>45311</v>
      </c>
      <c r="F41" s="11"/>
      <c r="G41" s="11"/>
      <c r="H41" s="11"/>
      <c r="I41" s="11"/>
      <c r="J41" s="11"/>
    </row>
    <row r="42" spans="2:10" ht="30" customHeight="1" x14ac:dyDescent="0.15">
      <c r="B42" s="8">
        <v>39</v>
      </c>
      <c r="C42" s="9"/>
      <c r="D42" s="2" t="str">
        <f>IF(営業の電話ログ[[#This Row],[Name]]="","",IFERROR(VLOOKUP(営業の電話ログ[[#This Row],[Name]],クライアントの連絡先情報[],2,0),"Not Found"))</f>
        <v/>
      </c>
      <c r="E42" s="10">
        <f t="shared" ca="1" si="1"/>
        <v>45311</v>
      </c>
      <c r="F42" s="11"/>
      <c r="G42" s="11"/>
      <c r="H42" s="11"/>
      <c r="I42" s="11"/>
      <c r="J42" s="11"/>
    </row>
    <row r="43" spans="2:10" ht="30" customHeight="1" x14ac:dyDescent="0.15">
      <c r="B43" s="8">
        <v>40</v>
      </c>
      <c r="C43" s="9"/>
      <c r="D43" s="2" t="str">
        <f>IF(営業の電話ログ[[#This Row],[Name]]="","",IFERROR(VLOOKUP(営業の電話ログ[[#This Row],[Name]],クライアントの連絡先情報[],2,0),"Not Found"))</f>
        <v/>
      </c>
      <c r="E43" s="10">
        <f t="shared" ca="1" si="1"/>
        <v>45311</v>
      </c>
      <c r="F43" s="11"/>
      <c r="G43" s="11"/>
      <c r="H43" s="11"/>
      <c r="I43" s="11"/>
      <c r="J43" s="11"/>
    </row>
    <row r="44" spans="2:10" ht="30" customHeight="1" x14ac:dyDescent="0.15">
      <c r="B44" s="8">
        <v>41</v>
      </c>
      <c r="C44" s="9"/>
      <c r="D44" s="2" t="str">
        <f>IF(営業の電話ログ[[#This Row],[Name]]="","",IFERROR(VLOOKUP(営業の電話ログ[[#This Row],[Name]],クライアントの連絡先情報[],2,0),"Not Found"))</f>
        <v/>
      </c>
      <c r="E44" s="10">
        <f t="shared" ca="1" si="1"/>
        <v>45311</v>
      </c>
      <c r="F44" s="11"/>
      <c r="G44" s="11"/>
      <c r="H44" s="11"/>
      <c r="I44" s="11"/>
      <c r="J44" s="11"/>
    </row>
    <row r="45" spans="2:10" ht="30" customHeight="1" x14ac:dyDescent="0.15">
      <c r="B45" s="8">
        <v>42</v>
      </c>
      <c r="C45" s="9"/>
      <c r="D45" s="2" t="str">
        <f>IF(営業の電話ログ[[#This Row],[Name]]="","",IFERROR(VLOOKUP(営業の電話ログ[[#This Row],[Name]],クライアントの連絡先情報[],2,0),"Not Found"))</f>
        <v/>
      </c>
      <c r="E45" s="10">
        <f t="shared" ca="1" si="1"/>
        <v>45311</v>
      </c>
      <c r="F45" s="11"/>
      <c r="G45" s="11"/>
      <c r="H45" s="11"/>
      <c r="I45" s="11"/>
      <c r="J45" s="11"/>
    </row>
    <row r="46" spans="2:10" ht="30" customHeight="1" x14ac:dyDescent="0.15">
      <c r="B46" s="8">
        <v>43</v>
      </c>
      <c r="C46" s="9"/>
      <c r="D46" s="2" t="str">
        <f>IF(営業の電話ログ[[#This Row],[Name]]="","",IFERROR(VLOOKUP(営業の電話ログ[[#This Row],[Name]],クライアントの連絡先情報[],2,0),"Not Found"))</f>
        <v/>
      </c>
      <c r="E46" s="10">
        <f t="shared" ca="1" si="1"/>
        <v>45311</v>
      </c>
      <c r="F46" s="11"/>
      <c r="G46" s="11"/>
      <c r="H46" s="11"/>
      <c r="I46" s="11"/>
      <c r="J46" s="11"/>
    </row>
    <row r="47" spans="2:10" ht="30" customHeight="1" x14ac:dyDescent="0.15">
      <c r="B47" s="8">
        <v>44</v>
      </c>
      <c r="C47" s="9"/>
      <c r="D47" s="2" t="str">
        <f>IF(営業の電話ログ[[#This Row],[Name]]="","",IFERROR(VLOOKUP(営業の電話ログ[[#This Row],[Name]],クライアントの連絡先情報[],2,0),"Not Found"))</f>
        <v/>
      </c>
      <c r="E47" s="10">
        <f t="shared" ca="1" si="1"/>
        <v>45311</v>
      </c>
      <c r="F47" s="11"/>
      <c r="G47" s="11"/>
      <c r="H47" s="11"/>
      <c r="I47" s="11"/>
      <c r="J47" s="11"/>
    </row>
    <row r="48" spans="2:10" ht="30" customHeight="1" x14ac:dyDescent="0.15">
      <c r="B48" s="8">
        <v>45</v>
      </c>
      <c r="C48" s="9"/>
      <c r="D48" s="2" t="str">
        <f>IF(営業の電話ログ[[#This Row],[Name]]="","",IFERROR(VLOOKUP(営業の電話ログ[[#This Row],[Name]],クライアントの連絡先情報[],2,0),"Not Found"))</f>
        <v/>
      </c>
      <c r="E48" s="10">
        <f t="shared" ca="1" si="1"/>
        <v>45311</v>
      </c>
      <c r="F48" s="11"/>
      <c r="G48" s="11"/>
      <c r="H48" s="11"/>
      <c r="I48" s="11"/>
      <c r="J48" s="11"/>
    </row>
    <row r="49" spans="2:10" ht="30" customHeight="1" x14ac:dyDescent="0.15">
      <c r="B49" s="8">
        <v>46</v>
      </c>
      <c r="C49" s="9"/>
      <c r="D49" s="2" t="str">
        <f>IF(営業の電話ログ[[#This Row],[Name]]="","",IFERROR(VLOOKUP(営業の電話ログ[[#This Row],[Name]],クライアントの連絡先情報[],2,0),"Not Found"))</f>
        <v/>
      </c>
      <c r="E49" s="10">
        <f t="shared" ca="1" si="1"/>
        <v>45311</v>
      </c>
      <c r="F49" s="11"/>
      <c r="G49" s="11"/>
      <c r="H49" s="11"/>
      <c r="I49" s="11"/>
      <c r="J49" s="11"/>
    </row>
    <row r="50" spans="2:10" ht="30" customHeight="1" x14ac:dyDescent="0.15">
      <c r="B50" s="8">
        <v>47</v>
      </c>
      <c r="C50" s="9"/>
      <c r="D50" s="2" t="str">
        <f>IF(営業の電話ログ[[#This Row],[Name]]="","",IFERROR(VLOOKUP(営業の電話ログ[[#This Row],[Name]],クライアントの連絡先情報[],2,0),"Not Found"))</f>
        <v/>
      </c>
      <c r="E50" s="10">
        <f t="shared" ca="1" si="1"/>
        <v>45311</v>
      </c>
      <c r="F50" s="11"/>
      <c r="G50" s="11"/>
      <c r="H50" s="11"/>
      <c r="I50" s="11"/>
      <c r="J50" s="11"/>
    </row>
    <row r="51" spans="2:10" ht="30" customHeight="1" x14ac:dyDescent="0.15">
      <c r="B51" s="8">
        <v>48</v>
      </c>
      <c r="C51" s="9"/>
      <c r="D51" s="2" t="str">
        <f>IF(営業の電話ログ[[#This Row],[Name]]="","",IFERROR(VLOOKUP(営業の電話ログ[[#This Row],[Name]],クライアントの連絡先情報[],2,0),"Not Found"))</f>
        <v/>
      </c>
      <c r="E51" s="10">
        <f t="shared" ca="1" si="1"/>
        <v>45311</v>
      </c>
      <c r="F51" s="11"/>
      <c r="G51" s="11"/>
      <c r="H51" s="11"/>
      <c r="I51" s="11"/>
      <c r="J51" s="11"/>
    </row>
    <row r="52" spans="2:10" ht="30" customHeight="1" x14ac:dyDescent="0.15">
      <c r="B52" s="8">
        <v>49</v>
      </c>
      <c r="C52" s="9"/>
      <c r="D52" s="2" t="str">
        <f>IF(営業の電話ログ[[#This Row],[Name]]="","",IFERROR(VLOOKUP(営業の電話ログ[[#This Row],[Name]],クライアントの連絡先情報[],2,0),"Not Found"))</f>
        <v/>
      </c>
      <c r="E52" s="10">
        <f t="shared" ca="1" si="1"/>
        <v>45311</v>
      </c>
      <c r="F52" s="11"/>
      <c r="G52" s="11"/>
      <c r="H52" s="11"/>
      <c r="I52" s="11"/>
      <c r="J52" s="11"/>
    </row>
    <row r="53" spans="2:10" ht="30" customHeight="1" x14ac:dyDescent="0.15">
      <c r="B53" s="8">
        <v>50</v>
      </c>
      <c r="C53" s="9"/>
      <c r="D53" s="2" t="str">
        <f>IF(営業の電話ログ[[#This Row],[Name]]="","",IFERROR(VLOOKUP(営業の電話ログ[[#This Row],[Name]],クライアントの連絡先情報[],2,0),"Not Found"))</f>
        <v/>
      </c>
      <c r="E53" s="10">
        <f t="shared" ca="1" si="1"/>
        <v>45311</v>
      </c>
      <c r="F53" s="11"/>
      <c r="G53" s="11"/>
      <c r="H53" s="11"/>
      <c r="I53" s="11"/>
      <c r="J53" s="11"/>
    </row>
    <row r="54" spans="2:10" ht="30" customHeight="1" x14ac:dyDescent="0.15">
      <c r="B54" s="8">
        <v>51</v>
      </c>
      <c r="C54" s="9"/>
      <c r="D54" s="2" t="str">
        <f>IF(営業の電話ログ[[#This Row],[Name]]="","",IFERROR(VLOOKUP(営業の電話ログ[[#This Row],[Name]],クライアントの連絡先情報[],2,0),"Not Found"))</f>
        <v/>
      </c>
      <c r="E54" s="10">
        <f t="shared" ca="1" si="1"/>
        <v>45311</v>
      </c>
      <c r="F54" s="11"/>
      <c r="G54" s="11"/>
      <c r="H54" s="11"/>
      <c r="I54" s="11"/>
      <c r="J54" s="11"/>
    </row>
    <row r="55" spans="2:10" ht="30" customHeight="1" x14ac:dyDescent="0.15">
      <c r="B55" s="8">
        <v>52</v>
      </c>
      <c r="C55" s="9"/>
      <c r="D55" s="2" t="str">
        <f>IF(営業の電話ログ[[#This Row],[Name]]="","",IFERROR(VLOOKUP(営業の電話ログ[[#This Row],[Name]],クライアントの連絡先情報[],2,0),"Not Found"))</f>
        <v/>
      </c>
      <c r="E55" s="10">
        <f t="shared" ca="1" si="1"/>
        <v>45311</v>
      </c>
      <c r="F55" s="11"/>
      <c r="G55" s="11"/>
      <c r="H55" s="11"/>
      <c r="I55" s="11"/>
      <c r="J55" s="11"/>
    </row>
  </sheetData>
  <dataConsolidate/>
  <phoneticPr fontId="8"/>
  <dataValidations count="8">
    <dataValidation allowBlank="1" showInputMessage="1" showErrorMessage="1" prompt="この列の各セルでドロップダウン リストからクライアント名を選択します。クライアント名はクライアントの連絡先情報ワークシートに基づいて設定されます。Alt キーを押しながら下方向キーを押し、Enter キーを押して選択します" sqref="C3" xr:uid="{00000000-0002-0000-0000-000000000000}"/>
    <dataValidation allowBlank="1" showInputMessage="1" showErrorMessage="1" prompt="この列には通話に割り当てる値を入力します" sqref="B3" xr:uid="{00000000-0002-0000-0000-000001000000}"/>
    <dataValidation allowBlank="1" showInputMessage="1" showErrorMessage="1" prompt="この列は、左のクライアント列でクライアントを選択すると、自動的に更新されます。会社情報は、クライアントの連絡先情報ワークシートに入力されたデータに基づいています。" sqref="D3" xr:uid="{00000000-0002-0000-0000-000002000000}"/>
    <dataValidation allowBlank="1" showInputMessage="1" showErrorMessage="1" prompt="この列には電話の日付を入力します" sqref="E3" xr:uid="{00000000-0002-0000-0000-000003000000}"/>
    <dataValidation allowBlank="1" showInputMessage="1" showErrorMessage="1" prompt="この列には電話の時刻を入力します " sqref="F3:J3" xr:uid="{00000000-0002-0000-0000-000004000000}"/>
    <dataValidation allowBlank="1" showInputMessage="1" showErrorMessage="1" prompt="この列には各電話についてのメモを入力します" sqref="K3" xr:uid="{00000000-0002-0000-0000-000005000000}"/>
    <dataValidation allowBlank="1" showInputMessage="1" showErrorMessage="1" prompt="営業の電話のログ ワークシートには、営業の電話のリストが含まれています。クライアントの連絡先情報ワークシートには、クライアントの連絡先情報が含まれています。残りの 4 つのワークシートは、営業プロセスの各段階で完了する必要のあるタスクを追跡するためのチェックリストです " sqref="A1" xr:uid="{00000000-0002-0000-0000-000006000000}"/>
    <dataValidation type="list" allowBlank="1" showInputMessage="1" showErrorMessage="1" error="ドロップダウン リストからクライアントを選択します。新しいクライアントを追加するには、クライアントの連絡先情報ワークシートでクライアント情報表を更新します。Alt キーを押しながら下方向キーを押してリスト内を移動し、Enter キーを押して選択します" sqref="C4:C1048576" xr:uid="{00000000-0002-0000-0000-000007000000}">
      <formula1>名前</formula1>
    </dataValidation>
  </dataValidations>
  <printOptions horizontalCentered="1"/>
  <pageMargins left="0.7" right="0.7" top="0.75" bottom="0.75" header="0.3" footer="0.3"/>
  <pageSetup paperSize="9" fitToHeight="0" orientation="portrait" horizontalDpi="1200"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tint="0.79998168889431442"/>
    <pageSetUpPr autoPageBreaks="0" fitToPage="1"/>
  </sheetPr>
  <dimension ref="B1:C13"/>
  <sheetViews>
    <sheetView showGridLines="0" zoomScaleNormal="100" workbookViewId="0">
      <selection activeCell="F5" sqref="F5"/>
    </sheetView>
  </sheetViews>
  <sheetFormatPr defaultColWidth="8.94921875" defaultRowHeight="30" customHeight="1" x14ac:dyDescent="0.15"/>
  <cols>
    <col min="1" max="1" width="2.57421875" style="2" customWidth="1"/>
    <col min="2" max="2" width="4.41015625" style="2" customWidth="1"/>
    <col min="3" max="3" width="81.890625" style="2" customWidth="1"/>
    <col min="4" max="4" width="2.57421875" style="2" customWidth="1"/>
    <col min="5" max="16384" width="8.94921875" style="2"/>
  </cols>
  <sheetData>
    <row r="1" spans="2:3" ht="33.75" customHeight="1" x14ac:dyDescent="0.25">
      <c r="B1" s="1" t="str">
        <f>会社名</f>
        <v>Organization Name</v>
      </c>
      <c r="C1" s="1"/>
    </row>
    <row r="2" spans="2:3" s="4" customFormat="1" ht="47.25" customHeight="1" x14ac:dyDescent="0.15">
      <c r="B2" s="3" t="s">
        <v>295</v>
      </c>
      <c r="C2" s="3"/>
    </row>
    <row r="3" spans="2:3" ht="30" customHeight="1" x14ac:dyDescent="0.15">
      <c r="B3" s="13" t="s">
        <v>1</v>
      </c>
      <c r="C3" s="2" t="s">
        <v>15</v>
      </c>
    </row>
    <row r="4" spans="2:3" ht="30" customHeight="1" x14ac:dyDescent="0.15">
      <c r="B4" s="12"/>
      <c r="C4" s="12" t="s">
        <v>2</v>
      </c>
    </row>
    <row r="5" spans="2:3" ht="30" customHeight="1" x14ac:dyDescent="0.15">
      <c r="B5" s="12"/>
      <c r="C5" s="12" t="s">
        <v>3</v>
      </c>
    </row>
    <row r="6" spans="2:3" ht="30" customHeight="1" x14ac:dyDescent="0.15">
      <c r="B6" s="12"/>
      <c r="C6" s="12" t="s">
        <v>4</v>
      </c>
    </row>
    <row r="7" spans="2:3" ht="30" customHeight="1" x14ac:dyDescent="0.15">
      <c r="B7" s="12"/>
      <c r="C7" s="12" t="s">
        <v>5</v>
      </c>
    </row>
    <row r="8" spans="2:3" ht="30" customHeight="1" x14ac:dyDescent="0.15">
      <c r="B8" s="12"/>
      <c r="C8" s="12" t="s">
        <v>5</v>
      </c>
    </row>
    <row r="9" spans="2:3" ht="30" customHeight="1" x14ac:dyDescent="0.15">
      <c r="B9" s="12"/>
      <c r="C9" s="12" t="s">
        <v>5</v>
      </c>
    </row>
    <row r="10" spans="2:3" ht="30" customHeight="1" x14ac:dyDescent="0.15">
      <c r="B10" s="12"/>
      <c r="C10" s="12" t="s">
        <v>5</v>
      </c>
    </row>
    <row r="11" spans="2:3" ht="30" customHeight="1" x14ac:dyDescent="0.15">
      <c r="B11" s="12"/>
      <c r="C11" s="12" t="s">
        <v>5</v>
      </c>
    </row>
    <row r="12" spans="2:3" ht="30" customHeight="1" x14ac:dyDescent="0.15">
      <c r="B12" s="12"/>
      <c r="C12" s="12" t="s">
        <v>5</v>
      </c>
    </row>
    <row r="13" spans="2:3" ht="30" customHeight="1" x14ac:dyDescent="0.15">
      <c r="B13" s="12"/>
      <c r="C13" s="12" t="s">
        <v>5</v>
      </c>
    </row>
  </sheetData>
  <phoneticPr fontId="8"/>
  <dataValidations xWindow="56" yWindow="401" count="3">
    <dataValidation allowBlank="1" showInputMessage="1" showErrorMessage="1" prompt="この列にはチェックリスト項目を入力します" sqref="C3" xr:uid="{00000000-0002-0000-0200-000000000000}"/>
    <dataValidation allowBlank="1" showInputMessage="1" showErrorMessage="1" prompt="電話の前のタスク完了を示すには、この列のセルにマークを付けます。空白セルは未完了のタスクを示します" sqref="B3" xr:uid="{00000000-0002-0000-0200-000001000000}"/>
    <dataValidation allowBlank="1" showInputMessage="1" showErrorMessage="1" prompt="電話の前のワークシートに含まれる&quot;電話する前に&quot;の表は、営業プロセスのこの段階で完了する必要のあるタスクのチェックリストです" sqref="A1" xr:uid="{00000000-0002-0000-0200-000002000000}"/>
  </dataValidations>
  <printOptions horizontalCentered="1"/>
  <pageMargins left="0.7" right="0.7" top="0.75" bottom="0.75" header="0.3" footer="0.3"/>
  <pageSetup paperSize="9"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pageSetUpPr autoPageBreaks="0" fitToPage="1"/>
  </sheetPr>
  <dimension ref="B1:C13"/>
  <sheetViews>
    <sheetView showGridLines="0" zoomScaleNormal="100" workbookViewId="0">
      <selection activeCell="G7" sqref="G7"/>
    </sheetView>
  </sheetViews>
  <sheetFormatPr defaultColWidth="8.94921875" defaultRowHeight="30" customHeight="1" x14ac:dyDescent="0.15"/>
  <cols>
    <col min="1" max="1" width="2.57421875" style="2" customWidth="1"/>
    <col min="2" max="2" width="4.41015625" style="2" customWidth="1"/>
    <col min="3" max="3" width="81.890625" style="2" customWidth="1"/>
    <col min="4" max="4" width="2.57421875" style="2" customWidth="1"/>
    <col min="5" max="16384" width="8.94921875" style="2"/>
  </cols>
  <sheetData>
    <row r="1" spans="2:3" ht="33.75" customHeight="1" x14ac:dyDescent="0.25">
      <c r="B1" s="1" t="str">
        <f>会社名</f>
        <v>Organization Name</v>
      </c>
      <c r="C1" s="1"/>
    </row>
    <row r="2" spans="2:3" s="4" customFormat="1" ht="47.25" customHeight="1" x14ac:dyDescent="0.15">
      <c r="B2" s="3" t="s">
        <v>295</v>
      </c>
      <c r="C2" s="3"/>
    </row>
    <row r="3" spans="2:3" ht="30" customHeight="1" x14ac:dyDescent="0.15">
      <c r="B3" s="13" t="s">
        <v>1</v>
      </c>
      <c r="C3" s="2" t="s">
        <v>22</v>
      </c>
    </row>
    <row r="4" spans="2:3" ht="30" customHeight="1" x14ac:dyDescent="0.15">
      <c r="B4" s="12"/>
      <c r="C4" s="12" t="s">
        <v>23</v>
      </c>
    </row>
    <row r="5" spans="2:3" ht="30" customHeight="1" x14ac:dyDescent="0.15">
      <c r="B5" s="12"/>
      <c r="C5" s="12" t="s">
        <v>296</v>
      </c>
    </row>
    <row r="6" spans="2:3" ht="30" customHeight="1" x14ac:dyDescent="0.15">
      <c r="B6" s="12"/>
      <c r="C6" s="12" t="s">
        <v>24</v>
      </c>
    </row>
    <row r="7" spans="2:3" ht="30" customHeight="1" x14ac:dyDescent="0.15">
      <c r="B7" s="12"/>
      <c r="C7" s="12" t="s">
        <v>25</v>
      </c>
    </row>
    <row r="8" spans="2:3" ht="30" customHeight="1" x14ac:dyDescent="0.15">
      <c r="B8" s="12"/>
      <c r="C8" s="12" t="s">
        <v>5</v>
      </c>
    </row>
    <row r="9" spans="2:3" ht="30" customHeight="1" x14ac:dyDescent="0.15">
      <c r="B9" s="12"/>
      <c r="C9" s="12" t="s">
        <v>5</v>
      </c>
    </row>
    <row r="10" spans="2:3" ht="30" customHeight="1" x14ac:dyDescent="0.15">
      <c r="B10" s="12"/>
      <c r="C10" s="12" t="s">
        <v>5</v>
      </c>
    </row>
    <row r="11" spans="2:3" ht="30" customHeight="1" x14ac:dyDescent="0.15">
      <c r="B11" s="12"/>
      <c r="C11" s="12" t="s">
        <v>5</v>
      </c>
    </row>
    <row r="12" spans="2:3" ht="30" customHeight="1" x14ac:dyDescent="0.15">
      <c r="B12" s="12"/>
      <c r="C12" s="12" t="s">
        <v>5</v>
      </c>
    </row>
    <row r="13" spans="2:3" ht="30" customHeight="1" x14ac:dyDescent="0.15">
      <c r="B13" s="12"/>
      <c r="C13" s="12" t="s">
        <v>5</v>
      </c>
    </row>
  </sheetData>
  <phoneticPr fontId="8"/>
  <dataValidations count="3">
    <dataValidation allowBlank="1" showInputMessage="1" showErrorMessage="1" prompt="この列にはチェックリスト項目を入力します" sqref="C3" xr:uid="{00000000-0002-0000-0300-000000000000}"/>
    <dataValidation allowBlank="1" showInputMessage="1" showErrorMessage="1" prompt="電話の前のタスク完了を示すには、この列のセルにマークを付けます。空白セルは未完了のタスクを示します" sqref="B3" xr:uid="{00000000-0002-0000-0300-000001000000}"/>
    <dataValidation allowBlank="1" showInputMessage="1" showErrorMessage="1" prompt="初回の電話ワークシートに含まれる初回の電話表は、営業プロセスのこの段階で完了する必要のあるタスクのチェックリストです" sqref="A1" xr:uid="{00000000-0002-0000-0300-000002000000}"/>
  </dataValidations>
  <printOptions horizontalCentered="1"/>
  <pageMargins left="0.7" right="0.7" top="0.75" bottom="0.75" header="0.3" footer="0.3"/>
  <pageSetup paperSize="9" fitToHeight="0" orientation="portrait" r:id="rId1"/>
  <headerFooter differentFirst="1">
    <oddFooter>Page &amp;P of &amp;N</oddFooter>
  </headerFooter>
  <rowBreaks count="1" manualBreakCount="1">
    <brk id="8" max="16383" man="1"/>
  </rowBreak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pageSetUpPr autoPageBreaks="0" fitToPage="1"/>
  </sheetPr>
  <dimension ref="B1:C13"/>
  <sheetViews>
    <sheetView showGridLines="0" zoomScaleNormal="100" workbookViewId="0">
      <selection activeCell="F6" sqref="F6"/>
    </sheetView>
  </sheetViews>
  <sheetFormatPr defaultColWidth="8.94921875" defaultRowHeight="30" customHeight="1" x14ac:dyDescent="0.15"/>
  <cols>
    <col min="1" max="1" width="2.57421875" style="2" customWidth="1"/>
    <col min="2" max="2" width="4.41015625" style="2" customWidth="1"/>
    <col min="3" max="3" width="81.890625" style="2" customWidth="1"/>
    <col min="4" max="4" width="2.57421875" style="2" customWidth="1"/>
    <col min="5" max="16384" width="8.94921875" style="2"/>
  </cols>
  <sheetData>
    <row r="1" spans="2:3" ht="33.75" customHeight="1" x14ac:dyDescent="0.25">
      <c r="B1" s="1" t="str">
        <f>会社名</f>
        <v>Organization Name</v>
      </c>
      <c r="C1" s="1"/>
    </row>
    <row r="2" spans="2:3" s="4" customFormat="1" ht="47.25" customHeight="1" x14ac:dyDescent="0.15">
      <c r="B2" s="3" t="s">
        <v>295</v>
      </c>
      <c r="C2" s="3"/>
    </row>
    <row r="3" spans="2:3" ht="30" customHeight="1" x14ac:dyDescent="0.15">
      <c r="B3" s="13" t="s">
        <v>1</v>
      </c>
      <c r="C3" s="2" t="s">
        <v>6</v>
      </c>
    </row>
    <row r="4" spans="2:3" ht="30" customHeight="1" x14ac:dyDescent="0.15">
      <c r="B4" s="12"/>
      <c r="C4" s="12" t="s">
        <v>7</v>
      </c>
    </row>
    <row r="5" spans="2:3" ht="30" customHeight="1" x14ac:dyDescent="0.15">
      <c r="B5" s="12"/>
      <c r="C5" s="12" t="s">
        <v>8</v>
      </c>
    </row>
    <row r="6" spans="2:3" ht="30" customHeight="1" x14ac:dyDescent="0.15">
      <c r="B6" s="12"/>
      <c r="C6" s="12" t="s">
        <v>9</v>
      </c>
    </row>
    <row r="7" spans="2:3" ht="30" customHeight="1" x14ac:dyDescent="0.15">
      <c r="B7" s="12"/>
      <c r="C7" s="12" t="s">
        <v>5</v>
      </c>
    </row>
    <row r="8" spans="2:3" ht="30" customHeight="1" x14ac:dyDescent="0.15">
      <c r="B8" s="12"/>
      <c r="C8" s="12" t="s">
        <v>5</v>
      </c>
    </row>
    <row r="9" spans="2:3" ht="30" customHeight="1" x14ac:dyDescent="0.15">
      <c r="B9" s="12"/>
      <c r="C9" s="12" t="s">
        <v>5</v>
      </c>
    </row>
    <row r="10" spans="2:3" ht="30" customHeight="1" x14ac:dyDescent="0.15">
      <c r="B10" s="12"/>
      <c r="C10" s="12" t="s">
        <v>5</v>
      </c>
    </row>
    <row r="11" spans="2:3" ht="30" customHeight="1" x14ac:dyDescent="0.15">
      <c r="B11" s="12"/>
      <c r="C11" s="12" t="s">
        <v>5</v>
      </c>
    </row>
    <row r="12" spans="2:3" ht="30" customHeight="1" x14ac:dyDescent="0.15">
      <c r="B12" s="12"/>
      <c r="C12" s="12" t="s">
        <v>5</v>
      </c>
    </row>
    <row r="13" spans="2:3" ht="30" customHeight="1" x14ac:dyDescent="0.15">
      <c r="B13" s="12"/>
      <c r="C13" s="12" t="s">
        <v>5</v>
      </c>
    </row>
  </sheetData>
  <phoneticPr fontId="8"/>
  <dataValidations count="3">
    <dataValidation allowBlank="1" showInputMessage="1" showErrorMessage="1" prompt="電話の前のタスク完了を示すには、この列のセルにマークを付けます。空白セルは未完了のタスクを示します" sqref="B3" xr:uid="{00000000-0002-0000-0400-000000000000}"/>
    <dataValidation allowBlank="1" showInputMessage="1" showErrorMessage="1" prompt="この列にはチェックリスト項目を入力します" sqref="C3" xr:uid="{00000000-0002-0000-0400-000001000000}"/>
    <dataValidation allowBlank="1" showInputMessage="1" showErrorMessage="1" prompt="営業情報ワークシートには営業情報表があり、営業プロセスのこの段階で完了する必要のあるタスクのチェックリストが含まれています" sqref="A1" xr:uid="{00000000-0002-0000-0400-000002000000}"/>
  </dataValidations>
  <printOptions horizontalCentered="1"/>
  <pageMargins left="0.7" right="0.7" top="0.75" bottom="0.75" header="0.3" footer="0.3"/>
  <pageSetup paperSize="9" fitToHeight="0" orientation="portrait" r:id="rId1"/>
  <headerFooter differentFirst="1">
    <oddFooter>Page &amp;P of &amp;N</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499984740745262"/>
    <pageSetUpPr autoPageBreaks="0" fitToPage="1"/>
  </sheetPr>
  <dimension ref="B1:C13"/>
  <sheetViews>
    <sheetView showGridLines="0" zoomScaleNormal="100" workbookViewId="0">
      <selection activeCell="E7" sqref="E7"/>
    </sheetView>
  </sheetViews>
  <sheetFormatPr defaultColWidth="8.94921875" defaultRowHeight="30" customHeight="1" x14ac:dyDescent="0.15"/>
  <cols>
    <col min="1" max="1" width="2.57421875" style="2" customWidth="1"/>
    <col min="2" max="2" width="4.41015625" style="2" customWidth="1"/>
    <col min="3" max="3" width="81.890625" style="2" customWidth="1"/>
    <col min="4" max="4" width="2.57421875" style="2" customWidth="1"/>
    <col min="5" max="16384" width="8.94921875" style="2"/>
  </cols>
  <sheetData>
    <row r="1" spans="2:3" ht="33.75" customHeight="1" x14ac:dyDescent="0.25">
      <c r="B1" s="1" t="str">
        <f>会社名</f>
        <v>Organization Name</v>
      </c>
      <c r="C1" s="1"/>
    </row>
    <row r="2" spans="2:3" s="4" customFormat="1" ht="47.25" customHeight="1" x14ac:dyDescent="0.15">
      <c r="B2" s="3" t="s">
        <v>297</v>
      </c>
      <c r="C2" s="3"/>
    </row>
    <row r="3" spans="2:3" ht="30" customHeight="1" x14ac:dyDescent="0.15">
      <c r="B3" s="13" t="s">
        <v>1</v>
      </c>
      <c r="C3" s="2" t="s">
        <v>14</v>
      </c>
    </row>
    <row r="4" spans="2:3" ht="30" customHeight="1" x14ac:dyDescent="0.15">
      <c r="B4" s="12"/>
      <c r="C4" s="12" t="s">
        <v>0</v>
      </c>
    </row>
    <row r="5" spans="2:3" ht="30" customHeight="1" x14ac:dyDescent="0.15">
      <c r="B5" s="12"/>
      <c r="C5" s="12" t="s">
        <v>10</v>
      </c>
    </row>
    <row r="6" spans="2:3" ht="30" customHeight="1" x14ac:dyDescent="0.15">
      <c r="B6" s="12"/>
      <c r="C6" s="12" t="s">
        <v>11</v>
      </c>
    </row>
    <row r="7" spans="2:3" ht="30" customHeight="1" x14ac:dyDescent="0.15">
      <c r="B7" s="12"/>
      <c r="C7" s="12" t="s">
        <v>12</v>
      </c>
    </row>
    <row r="8" spans="2:3" ht="30" customHeight="1" x14ac:dyDescent="0.15">
      <c r="B8" s="12"/>
      <c r="C8" s="12" t="s">
        <v>13</v>
      </c>
    </row>
    <row r="9" spans="2:3" ht="30" customHeight="1" x14ac:dyDescent="0.15">
      <c r="B9" s="12"/>
      <c r="C9" s="12" t="s">
        <v>5</v>
      </c>
    </row>
    <row r="10" spans="2:3" ht="30" customHeight="1" x14ac:dyDescent="0.15">
      <c r="B10" s="12"/>
      <c r="C10" s="12" t="s">
        <v>5</v>
      </c>
    </row>
    <row r="11" spans="2:3" ht="30" customHeight="1" x14ac:dyDescent="0.15">
      <c r="B11" s="12"/>
      <c r="C11" s="12" t="s">
        <v>5</v>
      </c>
    </row>
    <row r="12" spans="2:3" ht="30" customHeight="1" x14ac:dyDescent="0.15">
      <c r="B12" s="12"/>
      <c r="C12" s="12" t="s">
        <v>5</v>
      </c>
    </row>
    <row r="13" spans="2:3" ht="30" customHeight="1" x14ac:dyDescent="0.15">
      <c r="B13" s="12"/>
      <c r="C13" s="12" t="s">
        <v>5</v>
      </c>
    </row>
  </sheetData>
  <phoneticPr fontId="8"/>
  <dataValidations count="3">
    <dataValidation allowBlank="1" showInputMessage="1" showErrorMessage="1" prompt="この列にはチェックリスト項目を入力します" sqref="C3" xr:uid="{00000000-0002-0000-0500-000000000000}"/>
    <dataValidation allowBlank="1" showInputMessage="1" showErrorMessage="1" prompt="電話の前のタスク完了を示すには、この列のセルにマークを付けます。空白セルは未完了のタスクを示します" sqref="B3" xr:uid="{00000000-0002-0000-0500-000001000000}"/>
    <dataValidation allowBlank="1" showInputMessage="1" showErrorMessage="1" prompt="フォローアップ ワークシートにはフォローアップ表があり、営業プロセスのこの段階で完了する必要のあるタスクのチェックリストが含まれています" sqref="A1" xr:uid="{00000000-0002-0000-0500-000002000000}"/>
  </dataValidations>
  <printOptions horizontalCentered="1"/>
  <pageMargins left="0.7" right="0.7" top="0.75" bottom="0.75" header="0.3" footer="0.3"/>
  <pageSetup paperSize="9" fitToHeight="0" orientation="portrait" r:id="rId1"/>
  <headerFooter differentFirst="1">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emplate>TM04022384</Template>
  <Application>Excel Android</Application>
  <DocSecurity>0</DocSecurity>
  <ScaleCrop>false</ScaleCrop>
  <HeadingPairs>
    <vt:vector size="4" baseType="variant">
      <vt:variant>
        <vt:lpstr>ワークシート</vt:lpstr>
      </vt:variant>
      <vt:variant>
        <vt:i4>6</vt:i4>
      </vt:variant>
      <vt:variant>
        <vt:lpstr>名前付き一覧</vt:lpstr>
      </vt:variant>
      <vt:variant>
        <vt:i4>14</vt:i4>
      </vt:variant>
    </vt:vector>
  </HeadingPairs>
  <TitlesOfParts>
    <vt:vector size="20" baseType="lpstr">
      <vt:lpstr>Client Information</vt:lpstr>
      <vt:lpstr>Approach Log </vt:lpstr>
      <vt:lpstr>Preparation</vt:lpstr>
      <vt:lpstr>Approach</vt:lpstr>
      <vt:lpstr>Sales Info.</vt:lpstr>
      <vt:lpstr>Follow up</vt:lpstr>
      <vt:lpstr>ColumnTitle1</vt:lpstr>
      <vt:lpstr>ColumnTitle2</vt:lpstr>
      <vt:lpstr>ColumnTitle3</vt:lpstr>
      <vt:lpstr>ColumnTitle4</vt:lpstr>
      <vt:lpstr>ColumnTitle5</vt:lpstr>
      <vt:lpstr>ColumnTitle6</vt:lpstr>
      <vt:lpstr>Approach!Print_Titles</vt:lpstr>
      <vt:lpstr>Client Information!Print_Titles</vt:lpstr>
      <vt:lpstr>Follow up!Print_Titles</vt:lpstr>
      <vt:lpstr>Preparation!Print_Titles</vt:lpstr>
      <vt:lpstr>Sales Info.!Print_Titles</vt:lpstr>
      <vt:lpstr>Print_Titles</vt:lpstr>
      <vt:lpstr>会社名</vt:lpstr>
      <vt:lpstr>名前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和彦 下條</cp:lastModifiedBy>
  <dcterms:created xsi:type="dcterms:W3CDTF">2016-08-07T04:59:19Z</dcterms:created>
  <dcterms:modified xsi:type="dcterms:W3CDTF">2024-01-16T15:22:55Z</dcterms:modified>
</cp:coreProperties>
</file>